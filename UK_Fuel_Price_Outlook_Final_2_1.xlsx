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README" sheetId="1" state="visible" r:id="rId3"/>
    <sheet name="Weekly_Data" sheetId="2" state="visible" r:id="rId4"/>
    <sheet name="Monthly" sheetId="3" state="visible" r:id="rId5"/>
    <sheet name="Annual" sheetId="4" state="visible" r:id="rId6"/>
    <sheet name="Forecast_Data" sheetId="5" state="visible" r:id="rId7"/>
    <sheet name="Scenarios" sheetId="6" state="visible" r:id="rId8"/>
    <sheet name="Assumptions" sheetId="7" state="visible" r:id="rId9"/>
    <sheet name="Scenario_Calc" sheetId="8" state="visible" r:id="rId10"/>
    <sheet name="Chart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<sst xmlns="http://schemas.openxmlformats.org/spreadsheetml/2006/main" count="249" uniqueCount="223">
  <si>
    <t xml:space="preserve">UK Fuel Price Outlook 2026 to 2036</t>
  </si>
  <si>
    <t xml:space="preserve">Petrol and diesel pump prices: statistical baseline and sourced scenarios</t>
  </si>
  <si>
    <t xml:space="preserve">Prepared by Abdul Mohi Choudhry  |  Version 1.0, 7 October 2026  |  Price data to 28 September 2026  |  Tools: R and Excel</t>
  </si>
  <si>
    <t xml:space="preserve">PURPOSE</t>
  </si>
  <si>
    <t xml:space="preserve">What this is</t>
  </si>
  <si>
    <t xml:space="preserve">A 10-year look at where UK petrol and diesel pump prices could go. It combines a statistical baseline (an ARIMA time-series model built in R) with three transparent scenarios built in Excel from published oil price, inflation and fuel duty assumptions. It is an analytical exercise: the results are conditional projections, not predictions, and not financial advice.</t>
  </si>
  <si>
    <t xml:space="preserve">KEY FINDINGS (default assumptions, pence per litre, September 2036)</t>
  </si>
  <si>
    <t xml:space="preserve">Petrol</t>
  </si>
  <si>
    <t xml:space="preserve">Today (Sep-26 average) 169.5p. Statistical baseline 169.1p (80% range 91p to 247p). Scenarios: Low 167p, Central 214p, High 238p.</t>
  </si>
  <si>
    <t xml:space="preserve">Diesel</t>
  </si>
  <si>
    <t xml:space="preserve">Today (Sep-26 average) 192.5p. Statistical baseline 176.3p (80% range 110p to 242p). Scenarios: Low 195p, Central 242p, High 266p.</t>
  </si>
  <si>
    <t xml:space="preserve">Prices are at a spike</t>
  </si>
  <si>
    <t xml:space="preserve">Diesel rose from about 142p in February 2026 to about 198p by 28 September 2026, and petrol from about 132p to about 173p, following an oil price shock linked to the 2026 Middle East conflict.</t>
  </si>
  <si>
    <t xml:space="preserve">Model accuracy</t>
  </si>
  <si>
    <t xml:space="preserve">In normal conditions the ARIMA model beat a "no change" benchmark by about a quarter (backtest Jan-24 to Feb-26, RMSE: petrol 5.3p vs 7.1p, diesel 6.2p vs 8.1p). Including the 2026 spike it did no better than the benchmark (petrol 9.8p vs 9.6p, diesel 16.0p vs 15.6p). Past prices alone cannot anticipate shocks.</t>
  </si>
  <si>
    <t xml:space="preserve">Why scenarios</t>
  </si>
  <si>
    <t xml:space="preserve">The statistical range for 2036 is very wide, so assumptions matter more than the model. The Central scenarios imply roughly +26% for petrol and +25% for diesel by 2036, driven mainly by general inflation and fuel duty returning to its pre-2022 level and then rising with RPI.</t>
  </si>
  <si>
    <t xml:space="preserve">HOW TO USE THIS WORKBOOK</t>
  </si>
  <si>
    <t xml:space="preserve">Switch fuel</t>
  </si>
  <si>
    <t xml:space="preserve">On the Scenarios sheet, choose Petrol or Diesel in cell B3. The starting price, summary table, scenarios and chart all update.</t>
  </si>
  <si>
    <t xml:space="preserve">Change assumptions</t>
  </si>
  <si>
    <t xml:space="preserve">Sourced inputs are on the Assumptions sheet (blue cells). The Low scenario duty inputs on Scenarios (C12:C13, yellow) can also be changed.</t>
  </si>
  <si>
    <t xml:space="preserve">Data check</t>
  </si>
  <si>
    <t xml:space="preserve">Cell M2 on Forecast_Data should read "OK". It warns if the diesel forecast columns are incomplete or repeated.</t>
  </si>
  <si>
    <t xml:space="preserve">SHEET GUIDE</t>
  </si>
  <si>
    <t xml:space="preserve">Weekly_Data</t>
  </si>
  <si>
    <t xml:space="preserve">Official weekly UK average pump prices (petrol and diesel, p/litre) from 1 Jan 2018 to 28 Sep 2026, with fuel duty, VAT, diesel premium and tax share of the price.</t>
  </si>
  <si>
    <t xml:space="preserve">Monthly</t>
  </si>
  <si>
    <t xml:space="preserve">Monthly averages of the weekly prices (105 months). This is the series used for the R forecasts.</t>
  </si>
  <si>
    <t xml:space="preserve">Annual</t>
  </si>
  <si>
    <t xml:space="preserve">Calendar-year averages and year-on-year change. 2026 is year-to-date.</t>
  </si>
  <si>
    <t xml:space="preserve">Forecast_Data</t>
  </si>
  <si>
    <t xml:space="preserve">120-month statistical forecast (Oct-26 to Sep-36) for petrol and diesel from R, with 80% and 95% ranges.</t>
  </si>
  <si>
    <t xml:space="preserve">Scenarios</t>
  </si>
  <si>
    <t xml:space="preserve">Low, Central and High pump-price scenarios against the statistical baseline, with a summary table and chart. Choose the fuel in B3.</t>
  </si>
  <si>
    <t xml:space="preserve">Assumptions</t>
  </si>
  <si>
    <t xml:space="preserve">Every scenario input with its source, including the DESNZ oil price table.</t>
  </si>
  <si>
    <t xml:space="preserve">Scenario_Calc</t>
  </si>
  <si>
    <t xml:space="preserve">Month-by-month workings behind the scenarios (formulas only).</t>
  </si>
  <si>
    <t xml:space="preserve">Charts</t>
  </si>
  <si>
    <t xml:space="preserve">Weekly, monthly and annual price charts, plus the R forecast charts for petrol and diesel.</t>
  </si>
  <si>
    <t xml:space="preserve">METHOD</t>
  </si>
  <si>
    <t xml:space="preserve">Data preparation</t>
  </si>
  <si>
    <t xml:space="preserve">Weekly Monday prices averaged to calendar months (Jan-18 to Sep-26, 105 months).</t>
  </si>
  <si>
    <t xml:space="preserve">Statistical baseline</t>
  </si>
  <si>
    <t xml:space="preserve">ARIMA models fitted automatically in R (forecast package): petrol ARIMA(2,1,2) with no drift; diesel ARIMA(2,1,2)(0,0,1)[12], which adds a seasonal moving-average term. Each forecasts 120 months with 80% and 95% ranges.</t>
  </si>
  <si>
    <t xml:space="preserve">Backtest</t>
  </si>
  <si>
    <t xml:space="preserve">Models trained on Jan-18 to Dec-23 and tested from Jan-24 against a "no change" (naive) benchmark. ETS was also tested and performed poorly, so it is not used.</t>
  </si>
  <si>
    <t xml:space="preserve">Pump price = (crude oil cost + other costs + fuel duty) x (1 + VAT). Crude cost = Brent x 100 / (litres per barrel x GBP/USD). Brent moves from today's level to the DESNZ low, central or high path over one year. Other costs (refining, distribution, retail margin) grow with inflation. Fuel duty follows the stated policy in Central and High, and is frozen in Low.</t>
  </si>
  <si>
    <t xml:space="preserve">DATA SOURCES</t>
  </si>
  <si>
    <t xml:space="preserve">Pump prices</t>
  </si>
  <si>
    <t xml:space="preserve">DESNZ, Weekly road fuel prices (GOV.UK).</t>
  </si>
  <si>
    <t xml:space="preserve">Oil price scenarios</t>
  </si>
  <si>
    <t xml:space="preserve">DESNZ, Fossil Fuel Price Assumptions 2025 (GOV.UK, January 2026): low, central and high Brent paths in real 2024 prices.</t>
  </si>
  <si>
    <t xml:space="preserve">Current oil price</t>
  </si>
  <si>
    <t xml:space="preserve">US EIA, Short-Term Energy Outlook, September 2026: Brent averaged $91 a barrel in August 2026 (eia.gov).</t>
  </si>
  <si>
    <t xml:space="preserve">Inflation</t>
  </si>
  <si>
    <t xml:space="preserve">Office for Budget Responsibility, Economic and fiscal outlook, March 2026: CPI 2.0% from 2027, RPI about 2.9% a year in 2027 to 2029 and 2.4% long run (obr.uk).</t>
  </si>
  <si>
    <t xml:space="preserve">Fuel duty</t>
  </si>
  <si>
    <t xml:space="preserve">HMRC and HM Treasury, Amended Fuel Duty rates for 2026 to 2027 (GOV.UK, 22 May 2026): 5p cut extended to 31 December 2026.</t>
  </si>
  <si>
    <t xml:space="preserve">Exchange rate</t>
  </si>
  <si>
    <t xml:space="preserve">Pound Sterling Live: USD/GBP 2026 average 0.7441, about 1.34 GBP/USD, held constant.</t>
  </si>
  <si>
    <t xml:space="preserve">ASSUMPTIONS AND LIMITATIONS</t>
  </si>
  <si>
    <t xml:space="preserve">1. Not forecasts</t>
  </si>
  <si>
    <t xml:space="preserve">The scenarios are conditional projections. DESNZ describes its oil prices as assumptions for stress-testing, and its short-term values were set before the 2026 Middle East conflict.</t>
  </si>
  <si>
    <t xml:space="preserve">2. Fuel duty</t>
  </si>
  <si>
    <t xml:space="preserve">Assumes the 5p cut ends on 1 January 2027 with no staging, then RPI uprating from April 2027. The Budget and OBR forecast due on 28 October 2026 may change this. The Low scenario freezes duty at 52.95p, which is the author's assumption and not an official forecast.</t>
  </si>
  <si>
    <t xml:space="preserve">3. Fixed inputs</t>
  </si>
  <si>
    <t xml:space="preserve">GBP/USD is held at 1.34, CPI is 2.0% from 2027, and Brent converges to the DESNZ path over one year (a judgement based on the EIA outlook).</t>
  </si>
  <si>
    <t xml:space="preserve">4. Diesel margin</t>
  </si>
  <si>
    <t xml:space="preserve">Other costs are held constant in real terms from today. Diesel margins are unusually high now (diesel is about 24p above petrol, against 5p to 10p normally), so the diesel scenarios may be too high.</t>
  </si>
  <si>
    <t xml:space="preserve">5. Statistical model</t>
  </si>
  <si>
    <t xml:space="preserve">Uses past prices only, from one train and test split on a short series. Its ranges widen quickly and it cannot anticipate shocks.</t>
  </si>
  <si>
    <t xml:space="preserve">6. Data</t>
  </si>
  <si>
    <t xml:space="preserve">Monthly figures are averages of weekly Monday prices. 2026 is not a full year.</t>
  </si>
  <si>
    <t xml:space="preserve">COLOUR LEGEND</t>
  </si>
  <si>
    <t xml:space="preserve">Blue text</t>
  </si>
  <si>
    <t xml:space="preserve">Hardcoded source data or input.</t>
  </si>
  <si>
    <t xml:space="preserve">Black text</t>
  </si>
  <si>
    <t xml:space="preserve">Formula.</t>
  </si>
  <si>
    <t xml:space="preserve">Green text</t>
  </si>
  <si>
    <t xml:space="preserve">Link to another sheet.</t>
  </si>
  <si>
    <t xml:space="preserve">Yellow fill</t>
  </si>
  <si>
    <t xml:space="preserve">Cell you can change.</t>
  </si>
  <si>
    <t xml:space="preserve">Week commencing</t>
  </si>
  <si>
    <t xml:space="preserve">Petrol (ULSP) pump price
(p/litre)</t>
  </si>
  <si>
    <t xml:space="preserve">Diesel (ULSD) pump price
(p/litre)</t>
  </si>
  <si>
    <t xml:space="preserve">Fuel duty
(p/litre, both fuels)</t>
  </si>
  <si>
    <t xml:space="preserve">VAT rate
(%)</t>
  </si>
  <si>
    <t xml:space="preserve">Diesel premium over petrol
(p/litre)</t>
  </si>
  <si>
    <t xml:space="preserve">Tax share of petrol price
(duty + VAT)</t>
  </si>
  <si>
    <t xml:space="preserve">Tax share of diesel price
(duty + VAT)</t>
  </si>
  <si>
    <t xml:space="preserve">Source: DESNZ weekly road fuel prices (GOV.UK), CSV updated 29 Sep 2026. Duty/VAT per the official CSV.</t>
  </si>
  <si>
    <t xml:space="preserve">Month</t>
  </si>
  <si>
    <t xml:space="preserve">Avg petrol
(p/litre)</t>
  </si>
  <si>
    <t xml:space="preserve">Avg diesel
(p/litre)</t>
  </si>
  <si>
    <t xml:space="preserve">Weeks in month
(count)</t>
  </si>
  <si>
    <t xml:space="preserve">Diesel premium
(p/litre)</t>
  </si>
  <si>
    <t xml:space="preserve">Monthly average of the weekly (Monday) prices that fall in each month. Sep-26 covers weeks to 28 Sep only.</t>
  </si>
  <si>
    <t xml:space="preserve">Year</t>
  </si>
  <si>
    <t xml:space="preserve">Petrol YoY
change</t>
  </si>
  <si>
    <t xml:space="preserve">Diesel YoY
change</t>
  </si>
  <si>
    <t xml:space="preserve">Avg diesel premium
(p/litre)</t>
  </si>
  <si>
    <t xml:space="preserve">Weeks of data
(count)</t>
  </si>
  <si>
    <t xml:space="preserve">2018</t>
  </si>
  <si>
    <t xml:space="preserve">2019</t>
  </si>
  <si>
    <t xml:space="preserve">2020</t>
  </si>
  <si>
    <t xml:space="preserve">2021</t>
  </si>
  <si>
    <t xml:space="preserve">2022</t>
  </si>
  <si>
    <t xml:space="preserve">2023</t>
  </si>
  <si>
    <t xml:space="preserve">2024</t>
  </si>
  <si>
    <t xml:space="preserve">2025</t>
  </si>
  <si>
    <t xml:space="preserve">2026 (YTD)</t>
  </si>
  <si>
    <t xml:space="preserve">2026 is year-to-date (to 28 Sep 2026), so its average and YoY change are not a full-year comparison.</t>
  </si>
  <si>
    <t xml:space="preserve">Petrol forecast
(p/litre)</t>
  </si>
  <si>
    <t xml:space="preserve">Petrol 80% low</t>
  </si>
  <si>
    <t xml:space="preserve">Petrol 80% high</t>
  </si>
  <si>
    <t xml:space="preserve">Petrol 95% low</t>
  </si>
  <si>
    <t xml:space="preserve">Petrol 95% high</t>
  </si>
  <si>
    <t xml:space="preserve">Diesel forecast
(p/litre)</t>
  </si>
  <si>
    <t xml:space="preserve">Diesel 80% low</t>
  </si>
  <si>
    <t xml:space="preserve">Diesel 80% high</t>
  </si>
  <si>
    <t xml:space="preserve">Diesel 95% low</t>
  </si>
  <si>
    <t xml:space="preserve">Diesel 95% high</t>
  </si>
  <si>
    <t xml:space="preserve">Diesel data check</t>
  </si>
  <si>
    <t xml:space="preserve">Petrol (B2:F121) and diesel (G2:K121): 120-month forecasts from R (forecast package, auto.arima), fitted to the 105 monthly averages (Jan-18 to Sep-26). Petrol is ARIMA(2,1,2) with no drift; diesel is ARIMA(2,1,2)(0,0,1)[12].</t>
  </si>
  <si>
    <t xml:space="preserve">Each fuel has the point forecast plus 80% and 95% ranges, in the same layout. Cell M2 checks the diesel columns are complete and vary by month.</t>
  </si>
  <si>
    <t xml:space="preserve">These are statistical ranges from past prices only. They do not include policy, oil-price or EV-demand assumptions (see Scenarios).</t>
  </si>
  <si>
    <t xml:space="preserve">Pump price scenarios vs statistical baseline</t>
  </si>
  <si>
    <t xml:space="preserve">Fuel (select Petrol or Diesel)</t>
  </si>
  <si>
    <t xml:space="preserve">Starting pump price (Sep-26 monthly avg, p/litre)</t>
  </si>
  <si>
    <t xml:space="preserve">Fuel duty now (p/litre)</t>
  </si>
  <si>
    <t xml:space="preserve">VAT rate</t>
  </si>
  <si>
    <t xml:space="preserve">Ex-tax cost now (p/litre: crude + refining, distribution, margin)</t>
  </si>
  <si>
    <t xml:space="preserve">Crude oil cost now (p/litre, from Brent and GBP/USD)</t>
  </si>
  <si>
    <t xml:space="preserve">Scenario assumptions (sourced, see Assumptions sheet)</t>
  </si>
  <si>
    <t xml:space="preserve">Low</t>
  </si>
  <si>
    <t xml:space="preserve">Central</t>
  </si>
  <si>
    <t xml:space="preserve">High</t>
  </si>
  <si>
    <t xml:space="preserve">DESNZ oil price assumption used</t>
  </si>
  <si>
    <t xml:space="preserve">A (low)</t>
  </si>
  <si>
    <t xml:space="preserve">B (central)</t>
  </si>
  <si>
    <t xml:space="preserve">C (high)</t>
  </si>
  <si>
    <t xml:space="preserve">Brent in 2036 (real 2024 $/bbl)</t>
  </si>
  <si>
    <t xml:space="preserve">Fuel duty step when the 5p cut ends, Jan-27 (p/litre)</t>
  </si>
  <si>
    <t xml:space="preserve">Annual fuel duty uprating from Apr-27 (RPI)</t>
  </si>
  <si>
    <t xml:space="preserve">Summary (p/litre)</t>
  </si>
  <si>
    <t xml:space="preserve">Statistical baseline
(ARIMA)</t>
  </si>
  <si>
    <t xml:space="preserve">ARIMA 80%
low</t>
  </si>
  <si>
    <t xml:space="preserve">ARIMA 80%
high</t>
  </si>
  <si>
    <t xml:space="preserve">In 5 years (Sep-31)</t>
  </si>
  <si>
    <t xml:space="preserve">In 10 years (Sep-36)</t>
  </si>
  <si>
    <t xml:space="preserve">Change vs today after 10 years</t>
  </si>
  <si>
    <t xml:space="preserve">Low: DESNZ low oil case with fuel duty frozen at today's rate (cut made permanent). Central and High: DESNZ central / high oil case with the stated policy (5p cut ends, then RPI uprating from Apr-27).</t>
  </si>
  <si>
    <t xml:space="preserve">These are conditional projections, not forecasts. The Budget and OBR forecast on 28 Oct 2026 may change the duty assumptions. Sources and workings: Assumptions and Scenario_Calc sheets.</t>
  </si>
  <si>
    <t xml:space="preserve">Years ahead</t>
  </si>
  <si>
    <t xml:space="preserve">Scenario assumptions and sources</t>
  </si>
  <si>
    <t xml:space="preserve">Blue = value taken from the cited source (edit if the source is updated). Black = formula. Green = link to another sheet.</t>
  </si>
  <si>
    <t xml:space="preserve">Assumption</t>
  </si>
  <si>
    <t xml:space="preserve">Value</t>
  </si>
  <si>
    <t xml:space="preserve">Unit</t>
  </si>
  <si>
    <t xml:space="preserve">Source / note</t>
  </si>
  <si>
    <t xml:space="preserve">Brent crude now (Aug-26 monthly average)</t>
  </si>
  <si>
    <t xml:space="preserve">$/bbl, nominal</t>
  </si>
  <si>
    <t xml:space="preserve">EIA Short-Term Energy Outlook, 9 Sep 2026: Brent averaged $91/b in Aug 2026 (2026 average forecast $91.01, 2027 $73.74).</t>
  </si>
  <si>
    <t xml:space="preserve">GBP/USD (held constant)</t>
  </si>
  <si>
    <t xml:space="preserve">$ per £</t>
  </si>
  <si>
    <t xml:space="preserve">Pound Sterling Live: USD/GBP 2026 average 0.7441, i.e. about 1.34 GBP/USD. Held flat over the 10 years (an assumption, not a forecast).</t>
  </si>
  <si>
    <t xml:space="preserve">Litres per barrel of oil</t>
  </si>
  <si>
    <t xml:space="preserve">litres</t>
  </si>
  <si>
    <t xml:space="preserve">Physical constant: 1 oil barrel = 42 US gallons.</t>
  </si>
  <si>
    <t xml:space="preserve">UK CPI inflation, 2025</t>
  </si>
  <si>
    <t xml:space="preserve">% a year</t>
  </si>
  <si>
    <t xml:space="preserve">OBR Economic and fiscal outlook, March 2026.</t>
  </si>
  <si>
    <t xml:space="preserve">UK CPI inflation, 2026</t>
  </si>
  <si>
    <t xml:space="preserve">OBR March 2026. Note: the OBR finalised this forecast before the Middle East war began, so 2026 inflation may turn out higher.</t>
  </si>
  <si>
    <t xml:space="preserve">UK CPI inflation, 2027 onwards</t>
  </si>
  <si>
    <t xml:space="preserve">OBR March 2026 (2.0% from 2027). Used to convert DESNZ real prices to nominal and to grow non-crude costs (refining, distribution, retail margin).</t>
  </si>
  <si>
    <t xml:space="preserve">Years for Brent to converge to the DESNZ path</t>
  </si>
  <si>
    <t xml:space="preserve">years</t>
  </si>
  <si>
    <t xml:space="preserve">Judgement. EIA Sep-26 STEO has Brent near $90 in H2 2026 and averaging $73.74 in 2027, so a fall over about a year.</t>
  </si>
  <si>
    <t xml:space="preserve">Fuel duty before the March 2022 5p cut</t>
  </si>
  <si>
    <t xml:space="preserve">p/litre</t>
  </si>
  <si>
    <t xml:space="preserve">GOV.UK, Fuel duty rates 2026 to 2027 (rates prior to 23 March 2022).</t>
  </si>
  <si>
    <t xml:space="preserve">Fuel duty step when the 5p cut ends</t>
  </si>
  <si>
    <t xml:space="preserve">Formula: pre-2022 rate minus current rate (52.95p).</t>
  </si>
  <si>
    <t xml:space="preserve">Date the 5p cut ends and the step takes effect</t>
  </si>
  <si>
    <t xml:space="preserve">date</t>
  </si>
  <si>
    <t xml:space="preserve">HMRC/HM Treasury, Amended Fuel Duty rates 2026 to 2027 (22 May 2026): cut extended to 31 Dec 2026. Assumes no further extension and no staging. Budget and OBR forecast due 28 Oct 2026 may change this.</t>
  </si>
  <si>
    <t xml:space="preserve">RPI inflation, 2027 to 2029 average</t>
  </si>
  <si>
    <t xml:space="preserve">OBR March 2026, para 2.23. Government policy (Budget Nov 2025): fuel duty uprated by RPI from April 2027.</t>
  </si>
  <si>
    <t xml:space="preserve">RPI inflation, long run</t>
  </si>
  <si>
    <t xml:space="preserve">OBR March 2026: RPI (via CPIH) of 2.4% beyond the forecast horizon.</t>
  </si>
  <si>
    <t xml:space="preserve">Fuel duty uprating rate used (10-year average)</t>
  </si>
  <si>
    <t xml:space="preserve">Formula: 3 years at the 2027-29 rate, 7 years at the long-run rate.</t>
  </si>
  <si>
    <t xml:space="preserve">First April of RPI uprating</t>
  </si>
  <si>
    <t xml:space="preserve">year</t>
  </si>
  <si>
    <t xml:space="preserve">As above.</t>
  </si>
  <si>
    <t xml:space="preserve">DESNZ oil price assumptions (Brent, real 2024 prices, $/bbl)</t>
  </si>
  <si>
    <t xml:space="preserve">A (Low)</t>
  </si>
  <si>
    <t xml:space="preserve">B (Central)</t>
  </si>
  <si>
    <t xml:space="preserve">C (High)</t>
  </si>
  <si>
    <t xml:space="preserve">CPI price level
(2024 = 1)</t>
  </si>
  <si>
    <t xml:space="preserve">Source: DESNZ, Fossil Fuel Price Assumptions 2025 (final report, January 2026), Table 2, GOV.UK. Assumptions A, B and C are the department's low, central and high cases.</t>
  </si>
  <si>
    <t xml:space="preserve">DESNZ says these are assumptions for stress-testing, not forecasts or the Government's view of future prices. Short-term values come from forward prices taken in spring 2025, before the 2026 Middle East war.</t>
  </si>
  <si>
    <t xml:space="preserve">Oil prices in the Scenarios are nominal: DESNZ real prices multiplied by the CPI price level in column E, then blended from today's Brent over the convergence period above.</t>
  </si>
  <si>
    <t xml:space="preserve">Model per month: pump price = (crude cost + non-crude cost + fuel duty) x (1 + VAT). Crude cost = Brent x 100 / (litres per barrel x GBP/USD).</t>
  </si>
  <si>
    <t xml:space="preserve">Limitation: non-crude cost (refining, distribution, retail margin) is held constant in real terms from today. Diesel margins are unusually high now, so diesel scenarios may be too high.</t>
  </si>
  <si>
    <t xml:space="preserve">Scenario workings (month by month)</t>
  </si>
  <si>
    <t xml:space="preserve">All cells are formulas driven by Assumptions and Scenarios. Nothing to edit here.</t>
  </si>
  <si>
    <t xml:space="preserve">Brent Low
($/bbl, nominal)</t>
  </si>
  <si>
    <t xml:space="preserve">Brent Central
($/bbl, nominal)</t>
  </si>
  <si>
    <t xml:space="preserve">Brent High
($/bbl, nominal)</t>
  </si>
  <si>
    <t xml:space="preserve">Non-crude cost
(p/litre)</t>
  </si>
  <si>
    <t xml:space="preserve">Crude cost Low
(p/litre)</t>
  </si>
  <si>
    <t xml:space="preserve">Crude cost Central
(p/litre)</t>
  </si>
  <si>
    <t xml:space="preserve">Crude cost High
(p/litre)</t>
  </si>
  <si>
    <t xml:space="preserve">Fuel duty Low
(p/litre)</t>
  </si>
  <si>
    <t xml:space="preserve">Fuel duty Central
(p/litre)</t>
  </si>
  <si>
    <t xml:space="preserve">Fuel duty High
(p/litre)</t>
  </si>
  <si>
    <t xml:space="preserve">Ex-tax cost Low
(p/litre)</t>
  </si>
  <si>
    <t xml:space="preserve">Ex-tax cost Central
(p/litre)</t>
  </si>
  <si>
    <t xml:space="preserve">Ex-tax cost High
(p/litre)</t>
  </si>
</sst>
</file>

<file path=xl/styles.xml><?xml version="1.0" encoding="utf-8"?>
<styleSheet xmlns="http://schemas.openxmlformats.org/spreadsheetml/2006/main">
  <numFmts count="12">
    <numFmt numFmtId="164" formatCode="General"/>
    <numFmt numFmtId="165" formatCode="m/d/yyyy"/>
    <numFmt numFmtId="166" formatCode="0.00"/>
    <numFmt numFmtId="167" formatCode="0.0%"/>
    <numFmt numFmtId="168" formatCode="mmm\-yy"/>
    <numFmt numFmtId="169" formatCode="0.0%;\(0.0%\);\-"/>
    <numFmt numFmtId="170" formatCode="0%"/>
    <numFmt numFmtId="171" formatCode="0"/>
    <numFmt numFmtId="172" formatCode="0.00%"/>
    <numFmt numFmtId="173" formatCode="0.0"/>
    <numFmt numFmtId="174" formatCode="\+0.0;\-0.0;0.0"/>
    <numFmt numFmtId="175" formatCode="0.0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2"/>
      <charset val="1"/>
    </font>
    <font>
      <b val="true"/>
      <sz val="11"/>
      <name val="Arial"/>
      <family val="2"/>
      <charset val="1"/>
    </font>
    <font>
      <sz val="10"/>
      <color rgb="FF595959"/>
      <name val="Arial"/>
      <family val="2"/>
      <charset val="1"/>
    </font>
    <font>
      <b val="true"/>
      <sz val="11"/>
      <color rgb="FFFFFFFF"/>
      <name val="Arial"/>
      <family val="2"/>
      <charset val="1"/>
    </font>
    <font>
      <b val="true"/>
      <sz val="10"/>
      <name val="Arial"/>
      <family val="2"/>
      <charset val="1"/>
    </font>
    <font>
      <sz val="10"/>
      <name val="Arial"/>
      <family val="2"/>
      <charset val="1"/>
    </font>
    <font>
      <sz val="10"/>
      <color rgb="FF0000FF"/>
      <name val="Arial"/>
      <family val="2"/>
      <charset val="1"/>
    </font>
    <font>
      <u val="single"/>
      <sz val="10"/>
      <color rgb="FF0563C1"/>
      <name val="Arial"/>
      <family val="2"/>
      <charset val="1"/>
    </font>
    <font>
      <sz val="10"/>
      <color rgb="FF008000"/>
      <name val="Arial"/>
      <family val="2"/>
      <charset val="1"/>
    </font>
    <font>
      <b val="true"/>
      <sz val="10"/>
      <color rgb="FFFFFFFF"/>
      <name val="Arial"/>
      <family val="2"/>
      <charset val="1"/>
    </font>
    <font>
      <i val="true"/>
      <sz val="9"/>
      <name val="Arial"/>
      <family val="2"/>
      <charset val="1"/>
    </font>
    <font>
      <b val="true"/>
      <sz val="14"/>
      <name val="Arial"/>
      <family val="2"/>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9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72" fontId="10" fillId="3"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bottom" textRotation="0" wrapText="tru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6AAC4"/>
      <rgbColor rgb="FF98B855"/>
      <rgbColor rgb="FFFFCC00"/>
      <rgbColor rgb="FFF59240"/>
      <rgbColor rgb="FFFF6600"/>
      <rgbColor rgb="FF7D5FA0"/>
      <rgbColor rgb="FF969696"/>
      <rgbColor rgb="FF1F3864"/>
      <rgbColor rgb="FF4F81BD"/>
      <rgbColor rgb="FF003300"/>
      <rgbColor rgb="FF333300"/>
      <rgbColor rgb="FF993300"/>
      <rgbColor rgb="FFC0504D"/>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GB" sz="1800" spc="-1" strike="noStrike">
                <a:solidFill>
                  <a:srgbClr val="000000"/>
                </a:solidFill>
                <a:latin typeface="Calibri"/>
              </a:defRPr>
            </a:pPr>
            <a:r>
              <a:rPr b="1" lang="en-GB" sz="1800" spc="-1" strike="noStrike">
                <a:solidFill>
                  <a:srgbClr val="000000"/>
                </a:solidFill>
                <a:latin typeface="Calibri"/>
              </a:rPr>
              <a:t>Scenarios vs statistical baseline (p/litre)</a:t>
            </a:r>
          </a:p>
        </c:rich>
      </c:tx>
      <c:overlay val="0"/>
      <c:spPr>
        <a:noFill/>
        <a:ln w="0">
          <a:noFill/>
        </a:ln>
      </c:spPr>
    </c:title>
    <c:autoTitleDeleted val="0"/>
    <c:plotArea>
      <c:lineChart>
        <c:grouping val="standard"/>
        <c:varyColors val="0"/>
        <c:ser>
          <c:idx val="0"/>
          <c:order val="0"/>
          <c:tx>
            <c:strRef>
              <c:f>Scenarios!$C$20</c:f>
              <c:strCache>
                <c:ptCount val="1"/>
                <c:pt idx="0">
                  <c:v>Low</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Scenarios!$A$21:$A$140</c:f>
              <c:numCache>
                <c:formatCode>mmm\-yy</c:formatCode>
                <c:ptCount val="120"/>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pt idx="15">
                  <c:v>Jan-28</c:v>
                </c:pt>
                <c:pt idx="16">
                  <c:v>Feb-28</c:v>
                </c:pt>
                <c:pt idx="17">
                  <c:v>Mar-28</c:v>
                </c:pt>
                <c:pt idx="18">
                  <c:v>Apr-28</c:v>
                </c:pt>
                <c:pt idx="19">
                  <c:v>May-28</c:v>
                </c:pt>
                <c:pt idx="20">
                  <c:v>Jun-28</c:v>
                </c:pt>
                <c:pt idx="21">
                  <c:v>Jul-28</c:v>
                </c:pt>
                <c:pt idx="22">
                  <c:v>Aug-28</c:v>
                </c:pt>
                <c:pt idx="23">
                  <c:v>Sep-28</c:v>
                </c:pt>
                <c:pt idx="24">
                  <c:v>Oct-28</c:v>
                </c:pt>
                <c:pt idx="25">
                  <c:v>Nov-28</c:v>
                </c:pt>
                <c:pt idx="26">
                  <c:v>Dec-28</c:v>
                </c:pt>
                <c:pt idx="27">
                  <c:v>Jan-29</c:v>
                </c:pt>
                <c:pt idx="28">
                  <c:v>Feb-29</c:v>
                </c:pt>
                <c:pt idx="29">
                  <c:v>Mar-29</c:v>
                </c:pt>
                <c:pt idx="30">
                  <c:v>Apr-29</c:v>
                </c:pt>
                <c:pt idx="31">
                  <c:v>May-29</c:v>
                </c:pt>
                <c:pt idx="32">
                  <c:v>Jun-29</c:v>
                </c:pt>
                <c:pt idx="33">
                  <c:v>Jul-29</c:v>
                </c:pt>
                <c:pt idx="34">
                  <c:v>Aug-29</c:v>
                </c:pt>
                <c:pt idx="35">
                  <c:v>Sep-29</c:v>
                </c:pt>
                <c:pt idx="36">
                  <c:v>Oct-29</c:v>
                </c:pt>
                <c:pt idx="37">
                  <c:v>Nov-29</c:v>
                </c:pt>
                <c:pt idx="38">
                  <c:v>Dec-29</c:v>
                </c:pt>
                <c:pt idx="39">
                  <c:v>Jan-30</c:v>
                </c:pt>
                <c:pt idx="40">
                  <c:v>Feb-30</c:v>
                </c:pt>
                <c:pt idx="41">
                  <c:v>Mar-30</c:v>
                </c:pt>
                <c:pt idx="42">
                  <c:v>Apr-30</c:v>
                </c:pt>
                <c:pt idx="43">
                  <c:v>May-30</c:v>
                </c:pt>
                <c:pt idx="44">
                  <c:v>Jun-30</c:v>
                </c:pt>
                <c:pt idx="45">
                  <c:v>Jul-30</c:v>
                </c:pt>
                <c:pt idx="46">
                  <c:v>Aug-30</c:v>
                </c:pt>
                <c:pt idx="47">
                  <c:v>Sep-30</c:v>
                </c:pt>
                <c:pt idx="48">
                  <c:v>Oct-30</c:v>
                </c:pt>
                <c:pt idx="49">
                  <c:v>Nov-30</c:v>
                </c:pt>
                <c:pt idx="50">
                  <c:v>Dec-30</c:v>
                </c:pt>
                <c:pt idx="51">
                  <c:v>Jan-31</c:v>
                </c:pt>
                <c:pt idx="52">
                  <c:v>Feb-31</c:v>
                </c:pt>
                <c:pt idx="53">
                  <c:v>Mar-31</c:v>
                </c:pt>
                <c:pt idx="54">
                  <c:v>Apr-31</c:v>
                </c:pt>
                <c:pt idx="55">
                  <c:v>May-31</c:v>
                </c:pt>
                <c:pt idx="56">
                  <c:v>Jun-31</c:v>
                </c:pt>
                <c:pt idx="57">
                  <c:v>Jul-31</c:v>
                </c:pt>
                <c:pt idx="58">
                  <c:v>Aug-31</c:v>
                </c:pt>
                <c:pt idx="59">
                  <c:v>Sep-31</c:v>
                </c:pt>
                <c:pt idx="60">
                  <c:v>Oct-31</c:v>
                </c:pt>
                <c:pt idx="61">
                  <c:v>Nov-31</c:v>
                </c:pt>
                <c:pt idx="62">
                  <c:v>Dec-31</c:v>
                </c:pt>
                <c:pt idx="63">
                  <c:v>Jan-32</c:v>
                </c:pt>
                <c:pt idx="64">
                  <c:v>Feb-32</c:v>
                </c:pt>
                <c:pt idx="65">
                  <c:v>Mar-32</c:v>
                </c:pt>
                <c:pt idx="66">
                  <c:v>Apr-32</c:v>
                </c:pt>
                <c:pt idx="67">
                  <c:v>May-32</c:v>
                </c:pt>
                <c:pt idx="68">
                  <c:v>Jun-32</c:v>
                </c:pt>
                <c:pt idx="69">
                  <c:v>Jul-32</c:v>
                </c:pt>
                <c:pt idx="70">
                  <c:v>Aug-32</c:v>
                </c:pt>
                <c:pt idx="71">
                  <c:v>Sep-32</c:v>
                </c:pt>
                <c:pt idx="72">
                  <c:v>Oct-32</c:v>
                </c:pt>
                <c:pt idx="73">
                  <c:v>Nov-32</c:v>
                </c:pt>
                <c:pt idx="74">
                  <c:v>Dec-32</c:v>
                </c:pt>
                <c:pt idx="75">
                  <c:v>Jan-33</c:v>
                </c:pt>
                <c:pt idx="76">
                  <c:v>Feb-33</c:v>
                </c:pt>
                <c:pt idx="77">
                  <c:v>Mar-33</c:v>
                </c:pt>
                <c:pt idx="78">
                  <c:v>Apr-33</c:v>
                </c:pt>
                <c:pt idx="79">
                  <c:v>May-33</c:v>
                </c:pt>
                <c:pt idx="80">
                  <c:v>Jun-33</c:v>
                </c:pt>
                <c:pt idx="81">
                  <c:v>Jul-33</c:v>
                </c:pt>
                <c:pt idx="82">
                  <c:v>Aug-33</c:v>
                </c:pt>
                <c:pt idx="83">
                  <c:v>Sep-33</c:v>
                </c:pt>
                <c:pt idx="84">
                  <c:v>Oct-33</c:v>
                </c:pt>
                <c:pt idx="85">
                  <c:v>Nov-33</c:v>
                </c:pt>
                <c:pt idx="86">
                  <c:v>Dec-33</c:v>
                </c:pt>
                <c:pt idx="87">
                  <c:v>Jan-34</c:v>
                </c:pt>
                <c:pt idx="88">
                  <c:v>Feb-34</c:v>
                </c:pt>
                <c:pt idx="89">
                  <c:v>Mar-34</c:v>
                </c:pt>
                <c:pt idx="90">
                  <c:v>Apr-34</c:v>
                </c:pt>
                <c:pt idx="91">
                  <c:v>May-34</c:v>
                </c:pt>
                <c:pt idx="92">
                  <c:v>Jun-34</c:v>
                </c:pt>
                <c:pt idx="93">
                  <c:v>Jul-34</c:v>
                </c:pt>
                <c:pt idx="94">
                  <c:v>Aug-34</c:v>
                </c:pt>
                <c:pt idx="95">
                  <c:v>Sep-34</c:v>
                </c:pt>
                <c:pt idx="96">
                  <c:v>Oct-34</c:v>
                </c:pt>
                <c:pt idx="97">
                  <c:v>Nov-34</c:v>
                </c:pt>
                <c:pt idx="98">
                  <c:v>Dec-34</c:v>
                </c:pt>
                <c:pt idx="99">
                  <c:v>Jan-35</c:v>
                </c:pt>
                <c:pt idx="100">
                  <c:v>Feb-35</c:v>
                </c:pt>
                <c:pt idx="101">
                  <c:v>Mar-35</c:v>
                </c:pt>
                <c:pt idx="102">
                  <c:v>Apr-35</c:v>
                </c:pt>
                <c:pt idx="103">
                  <c:v>May-35</c:v>
                </c:pt>
                <c:pt idx="104">
                  <c:v>Jun-35</c:v>
                </c:pt>
                <c:pt idx="105">
                  <c:v>Jul-35</c:v>
                </c:pt>
                <c:pt idx="106">
                  <c:v>Aug-35</c:v>
                </c:pt>
                <c:pt idx="107">
                  <c:v>Sep-35</c:v>
                </c:pt>
                <c:pt idx="108">
                  <c:v>Oct-35</c:v>
                </c:pt>
                <c:pt idx="109">
                  <c:v>Nov-35</c:v>
                </c:pt>
                <c:pt idx="110">
                  <c:v>Dec-35</c:v>
                </c:pt>
                <c:pt idx="111">
                  <c:v>Jan-36</c:v>
                </c:pt>
                <c:pt idx="112">
                  <c:v>Feb-36</c:v>
                </c:pt>
                <c:pt idx="113">
                  <c:v>Mar-36</c:v>
                </c:pt>
                <c:pt idx="114">
                  <c:v>Apr-36</c:v>
                </c:pt>
                <c:pt idx="115">
                  <c:v>May-36</c:v>
                </c:pt>
                <c:pt idx="116">
                  <c:v>Jun-36</c:v>
                </c:pt>
                <c:pt idx="117">
                  <c:v>Jul-36</c:v>
                </c:pt>
                <c:pt idx="118">
                  <c:v>Aug-36</c:v>
                </c:pt>
                <c:pt idx="119">
                  <c:v>Sep-36</c:v>
                </c:pt>
              </c:numCache>
            </c:numRef>
          </c:cat>
          <c:val>
            <c:numRef>
              <c:f>Scenarios!$C$21:$C$140</c:f>
              <c:numCache>
                <c:formatCode>0.0</c:formatCode>
                <c:ptCount val="120"/>
                <c:pt idx="0">
                  <c:v>167.655009862367</c:v>
                </c:pt>
                <c:pt idx="1">
                  <c:v>165.807668945085</c:v>
                </c:pt>
                <c:pt idx="2">
                  <c:v>163.960477494604</c:v>
                </c:pt>
                <c:pt idx="3">
                  <c:v>161.287239770104</c:v>
                </c:pt>
                <c:pt idx="4">
                  <c:v>159.233798997282</c:v>
                </c:pt>
                <c:pt idx="5">
                  <c:v>157.180508433053</c:v>
                </c:pt>
                <c:pt idx="6">
                  <c:v>155.127368325501</c:v>
                </c:pt>
                <c:pt idx="7">
                  <c:v>153.074378923115</c:v>
                </c:pt>
                <c:pt idx="8">
                  <c:v>151.021540474799</c:v>
                </c:pt>
                <c:pt idx="9">
                  <c:v>148.968853229864</c:v>
                </c:pt>
                <c:pt idx="10">
                  <c:v>146.916317438035</c:v>
                </c:pt>
                <c:pt idx="11">
                  <c:v>144.863933349451</c:v>
                </c:pt>
                <c:pt idx="12">
                  <c:v>144.956090337247</c:v>
                </c:pt>
                <c:pt idx="13">
                  <c:v>145.048399529802</c:v>
                </c:pt>
                <c:pt idx="14">
                  <c:v>145.140861178493</c:v>
                </c:pt>
                <c:pt idx="15">
                  <c:v>146.363854641713</c:v>
                </c:pt>
                <c:pt idx="16">
                  <c:v>146.456621958474</c:v>
                </c:pt>
                <c:pt idx="17">
                  <c:v>146.549542488001</c:v>
                </c:pt>
                <c:pt idx="18">
                  <c:v>146.642616483336</c:v>
                </c:pt>
                <c:pt idx="19">
                  <c:v>146.735844197942</c:v>
                </c:pt>
                <c:pt idx="20">
                  <c:v>146.829225885699</c:v>
                </c:pt>
                <c:pt idx="21">
                  <c:v>146.922761800904</c:v>
                </c:pt>
                <c:pt idx="22">
                  <c:v>147.016452198279</c:v>
                </c:pt>
                <c:pt idx="23">
                  <c:v>147.110297332962</c:v>
                </c:pt>
                <c:pt idx="24">
                  <c:v>147.204297460514</c:v>
                </c:pt>
                <c:pt idx="25">
                  <c:v>147.29845283692</c:v>
                </c:pt>
                <c:pt idx="26">
                  <c:v>147.392763718585</c:v>
                </c:pt>
                <c:pt idx="27">
                  <c:v>148.6526147574</c:v>
                </c:pt>
                <c:pt idx="28">
                  <c:v>148.747237420496</c:v>
                </c:pt>
                <c:pt idx="29">
                  <c:v>148.842016360613</c:v>
                </c:pt>
                <c:pt idx="30">
                  <c:v>148.936951835856</c:v>
                </c:pt>
                <c:pt idx="31">
                  <c:v>149.032044104754</c:v>
                </c:pt>
                <c:pt idx="32">
                  <c:v>149.127293426265</c:v>
                </c:pt>
                <c:pt idx="33">
                  <c:v>149.222700059775</c:v>
                </c:pt>
                <c:pt idx="34">
                  <c:v>149.318264265097</c:v>
                </c:pt>
                <c:pt idx="35">
                  <c:v>149.413986302474</c:v>
                </c:pt>
                <c:pt idx="36">
                  <c:v>149.509866432577</c:v>
                </c:pt>
                <c:pt idx="37">
                  <c:v>149.605904916511</c:v>
                </c:pt>
                <c:pt idx="38">
                  <c:v>149.702102015809</c:v>
                </c:pt>
                <c:pt idx="39">
                  <c:v>150.999795735858</c:v>
                </c:pt>
                <c:pt idx="40">
                  <c:v>151.096310852216</c:v>
                </c:pt>
                <c:pt idx="41">
                  <c:v>151.192985371135</c:v>
                </c:pt>
                <c:pt idx="42">
                  <c:v>151.289819555882</c:v>
                </c:pt>
                <c:pt idx="43">
                  <c:v>151.386813670159</c:v>
                </c:pt>
                <c:pt idx="44">
                  <c:v>151.4839679781</c:v>
                </c:pt>
                <c:pt idx="45">
                  <c:v>151.58128274428</c:v>
                </c:pt>
                <c:pt idx="46">
                  <c:v>151.678758233709</c:v>
                </c:pt>
                <c:pt idx="47">
                  <c:v>151.776394711833</c:v>
                </c:pt>
                <c:pt idx="48">
                  <c:v>151.874192444539</c:v>
                </c:pt>
                <c:pt idx="49">
                  <c:v>151.972151698151</c:v>
                </c:pt>
                <c:pt idx="50">
                  <c:v>152.070272739435</c:v>
                </c:pt>
                <c:pt idx="51">
                  <c:v>153.406818907551</c:v>
                </c:pt>
                <c:pt idx="52">
                  <c:v>153.505264326236</c:v>
                </c:pt>
                <c:pt idx="53">
                  <c:v>153.603872335534</c:v>
                </c:pt>
                <c:pt idx="54">
                  <c:v>153.702643203976</c:v>
                </c:pt>
                <c:pt idx="55">
                  <c:v>153.801577200538</c:v>
                </c:pt>
                <c:pt idx="56">
                  <c:v>153.900674594638</c:v>
                </c:pt>
                <c:pt idx="57">
                  <c:v>153.999935656142</c:v>
                </c:pt>
                <c:pt idx="58">
                  <c:v>154.099360655359</c:v>
                </c:pt>
                <c:pt idx="59">
                  <c:v>154.198949863045</c:v>
                </c:pt>
                <c:pt idx="60">
                  <c:v>154.298703550405</c:v>
                </c:pt>
                <c:pt idx="61">
                  <c:v>154.39862198909</c:v>
                </c:pt>
                <c:pt idx="62">
                  <c:v>154.4987054512</c:v>
                </c:pt>
                <c:pt idx="63">
                  <c:v>155.875139087817</c:v>
                </c:pt>
                <c:pt idx="64">
                  <c:v>155.975553414876</c:v>
                </c:pt>
                <c:pt idx="65">
                  <c:v>156.07613358436</c:v>
                </c:pt>
                <c:pt idx="66">
                  <c:v>156.176879870171</c:v>
                </c:pt>
                <c:pt idx="67">
                  <c:v>156.277792546664</c:v>
                </c:pt>
                <c:pt idx="68">
                  <c:v>156.378871888646</c:v>
                </c:pt>
                <c:pt idx="69">
                  <c:v>156.48011817138</c:v>
                </c:pt>
                <c:pt idx="70">
                  <c:v>156.581531670581</c:v>
                </c:pt>
                <c:pt idx="71">
                  <c:v>156.683112662422</c:v>
                </c:pt>
                <c:pt idx="72">
                  <c:v>156.784861423529</c:v>
                </c:pt>
                <c:pt idx="73">
                  <c:v>156.886778230987</c:v>
                </c:pt>
                <c:pt idx="74">
                  <c:v>156.988863362339</c:v>
                </c:pt>
                <c:pt idx="75">
                  <c:v>157.721841869573</c:v>
                </c:pt>
                <c:pt idx="76">
                  <c:v>157.824264483173</c:v>
                </c:pt>
                <c:pt idx="77">
                  <c:v>157.926856256047</c:v>
                </c:pt>
                <c:pt idx="78">
                  <c:v>158.029617467574</c:v>
                </c:pt>
                <c:pt idx="79">
                  <c:v>158.132548397597</c:v>
                </c:pt>
                <c:pt idx="80">
                  <c:v>158.235649326419</c:v>
                </c:pt>
                <c:pt idx="81">
                  <c:v>158.338920534808</c:v>
                </c:pt>
                <c:pt idx="82">
                  <c:v>158.442362303993</c:v>
                </c:pt>
                <c:pt idx="83">
                  <c:v>158.54597491567</c:v>
                </c:pt>
                <c:pt idx="84">
                  <c:v>158.649758651999</c:v>
                </c:pt>
                <c:pt idx="85">
                  <c:v>158.753713795607</c:v>
                </c:pt>
                <c:pt idx="86">
                  <c:v>158.857840629586</c:v>
                </c:pt>
                <c:pt idx="87">
                  <c:v>160.303570254686</c:v>
                </c:pt>
                <c:pt idx="88">
                  <c:v>160.408041320558</c:v>
                </c:pt>
                <c:pt idx="89">
                  <c:v>160.512684928889</c:v>
                </c:pt>
                <c:pt idx="90">
                  <c:v>160.617501364646</c:v>
                </c:pt>
                <c:pt idx="91">
                  <c:v>160.72249091327</c:v>
                </c:pt>
                <c:pt idx="92">
                  <c:v>160.827653860668</c:v>
                </c:pt>
                <c:pt idx="93">
                  <c:v>160.932990493225</c:v>
                </c:pt>
                <c:pt idx="94">
                  <c:v>161.038501097794</c:v>
                </c:pt>
                <c:pt idx="95">
                  <c:v>161.144185961704</c:v>
                </c:pt>
                <c:pt idx="96">
                  <c:v>161.25004537276</c:v>
                </c:pt>
                <c:pt idx="97">
                  <c:v>161.35607961924</c:v>
                </c:pt>
                <c:pt idx="98">
                  <c:v>161.462288989898</c:v>
                </c:pt>
                <c:pt idx="99">
                  <c:v>162.950895038455</c:v>
                </c:pt>
                <c:pt idx="100">
                  <c:v>163.057455525644</c:v>
                </c:pt>
                <c:pt idx="101">
                  <c:v>163.164192006142</c:v>
                </c:pt>
                <c:pt idx="102">
                  <c:v>163.271104770615</c:v>
                </c:pt>
                <c:pt idx="103">
                  <c:v>163.37819411021</c:v>
                </c:pt>
                <c:pt idx="104">
                  <c:v>163.485460316557</c:v>
                </c:pt>
                <c:pt idx="105">
                  <c:v>163.592903681764</c:v>
                </c:pt>
                <c:pt idx="106">
                  <c:v>163.700524498425</c:v>
                </c:pt>
                <c:pt idx="107">
                  <c:v>163.808323059614</c:v>
                </c:pt>
                <c:pt idx="108">
                  <c:v>163.91629965889</c:v>
                </c:pt>
                <c:pt idx="109">
                  <c:v>164.0244545903</c:v>
                </c:pt>
                <c:pt idx="110">
                  <c:v>164.132788148372</c:v>
                </c:pt>
                <c:pt idx="111">
                  <c:v>165.665407385473</c:v>
                </c:pt>
                <c:pt idx="112">
                  <c:v>165.774099082406</c:v>
                </c:pt>
                <c:pt idx="113">
                  <c:v>165.882970292513</c:v>
                </c:pt>
                <c:pt idx="114">
                  <c:v>165.992021312276</c:v>
                </c:pt>
                <c:pt idx="115">
                  <c:v>166.101252438663</c:v>
                </c:pt>
                <c:pt idx="116">
                  <c:v>166.210663969137</c:v>
                </c:pt>
                <c:pt idx="117">
                  <c:v>166.320256201648</c:v>
                </c:pt>
                <c:pt idx="118">
                  <c:v>166.430029434642</c:v>
                </c:pt>
                <c:pt idx="119">
                  <c:v>166.539983967055</c:v>
                </c:pt>
              </c:numCache>
            </c:numRef>
          </c:val>
          <c:smooth val="0"/>
        </c:ser>
        <c:ser>
          <c:idx val="1"/>
          <c:order val="1"/>
          <c:tx>
            <c:strRef>
              <c:f>Scenarios!$D$20</c:f>
              <c:strCache>
                <c:ptCount val="1"/>
                <c:pt idx="0">
                  <c:v>Central</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Scenarios!$A$21:$A$140</c:f>
              <c:numCache>
                <c:formatCode>mmm\-yy</c:formatCode>
                <c:ptCount val="120"/>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pt idx="15">
                  <c:v>Jan-28</c:v>
                </c:pt>
                <c:pt idx="16">
                  <c:v>Feb-28</c:v>
                </c:pt>
                <c:pt idx="17">
                  <c:v>Mar-28</c:v>
                </c:pt>
                <c:pt idx="18">
                  <c:v>Apr-28</c:v>
                </c:pt>
                <c:pt idx="19">
                  <c:v>May-28</c:v>
                </c:pt>
                <c:pt idx="20">
                  <c:v>Jun-28</c:v>
                </c:pt>
                <c:pt idx="21">
                  <c:v>Jul-28</c:v>
                </c:pt>
                <c:pt idx="22">
                  <c:v>Aug-28</c:v>
                </c:pt>
                <c:pt idx="23">
                  <c:v>Sep-28</c:v>
                </c:pt>
                <c:pt idx="24">
                  <c:v>Oct-28</c:v>
                </c:pt>
                <c:pt idx="25">
                  <c:v>Nov-28</c:v>
                </c:pt>
                <c:pt idx="26">
                  <c:v>Dec-28</c:v>
                </c:pt>
                <c:pt idx="27">
                  <c:v>Jan-29</c:v>
                </c:pt>
                <c:pt idx="28">
                  <c:v>Feb-29</c:v>
                </c:pt>
                <c:pt idx="29">
                  <c:v>Mar-29</c:v>
                </c:pt>
                <c:pt idx="30">
                  <c:v>Apr-29</c:v>
                </c:pt>
                <c:pt idx="31">
                  <c:v>May-29</c:v>
                </c:pt>
                <c:pt idx="32">
                  <c:v>Jun-29</c:v>
                </c:pt>
                <c:pt idx="33">
                  <c:v>Jul-29</c:v>
                </c:pt>
                <c:pt idx="34">
                  <c:v>Aug-29</c:v>
                </c:pt>
                <c:pt idx="35">
                  <c:v>Sep-29</c:v>
                </c:pt>
                <c:pt idx="36">
                  <c:v>Oct-29</c:v>
                </c:pt>
                <c:pt idx="37">
                  <c:v>Nov-29</c:v>
                </c:pt>
                <c:pt idx="38">
                  <c:v>Dec-29</c:v>
                </c:pt>
                <c:pt idx="39">
                  <c:v>Jan-30</c:v>
                </c:pt>
                <c:pt idx="40">
                  <c:v>Feb-30</c:v>
                </c:pt>
                <c:pt idx="41">
                  <c:v>Mar-30</c:v>
                </c:pt>
                <c:pt idx="42">
                  <c:v>Apr-30</c:v>
                </c:pt>
                <c:pt idx="43">
                  <c:v>May-30</c:v>
                </c:pt>
                <c:pt idx="44">
                  <c:v>Jun-30</c:v>
                </c:pt>
                <c:pt idx="45">
                  <c:v>Jul-30</c:v>
                </c:pt>
                <c:pt idx="46">
                  <c:v>Aug-30</c:v>
                </c:pt>
                <c:pt idx="47">
                  <c:v>Sep-30</c:v>
                </c:pt>
                <c:pt idx="48">
                  <c:v>Oct-30</c:v>
                </c:pt>
                <c:pt idx="49">
                  <c:v>Nov-30</c:v>
                </c:pt>
                <c:pt idx="50">
                  <c:v>Dec-30</c:v>
                </c:pt>
                <c:pt idx="51">
                  <c:v>Jan-31</c:v>
                </c:pt>
                <c:pt idx="52">
                  <c:v>Feb-31</c:v>
                </c:pt>
                <c:pt idx="53">
                  <c:v>Mar-31</c:v>
                </c:pt>
                <c:pt idx="54">
                  <c:v>Apr-31</c:v>
                </c:pt>
                <c:pt idx="55">
                  <c:v>May-31</c:v>
                </c:pt>
                <c:pt idx="56">
                  <c:v>Jun-31</c:v>
                </c:pt>
                <c:pt idx="57">
                  <c:v>Jul-31</c:v>
                </c:pt>
                <c:pt idx="58">
                  <c:v>Aug-31</c:v>
                </c:pt>
                <c:pt idx="59">
                  <c:v>Sep-31</c:v>
                </c:pt>
                <c:pt idx="60">
                  <c:v>Oct-31</c:v>
                </c:pt>
                <c:pt idx="61">
                  <c:v>Nov-31</c:v>
                </c:pt>
                <c:pt idx="62">
                  <c:v>Dec-31</c:v>
                </c:pt>
                <c:pt idx="63">
                  <c:v>Jan-32</c:v>
                </c:pt>
                <c:pt idx="64">
                  <c:v>Feb-32</c:v>
                </c:pt>
                <c:pt idx="65">
                  <c:v>Mar-32</c:v>
                </c:pt>
                <c:pt idx="66">
                  <c:v>Apr-32</c:v>
                </c:pt>
                <c:pt idx="67">
                  <c:v>May-32</c:v>
                </c:pt>
                <c:pt idx="68">
                  <c:v>Jun-32</c:v>
                </c:pt>
                <c:pt idx="69">
                  <c:v>Jul-32</c:v>
                </c:pt>
                <c:pt idx="70">
                  <c:v>Aug-32</c:v>
                </c:pt>
                <c:pt idx="71">
                  <c:v>Sep-32</c:v>
                </c:pt>
                <c:pt idx="72">
                  <c:v>Oct-32</c:v>
                </c:pt>
                <c:pt idx="73">
                  <c:v>Nov-32</c:v>
                </c:pt>
                <c:pt idx="74">
                  <c:v>Dec-32</c:v>
                </c:pt>
                <c:pt idx="75">
                  <c:v>Jan-33</c:v>
                </c:pt>
                <c:pt idx="76">
                  <c:v>Feb-33</c:v>
                </c:pt>
                <c:pt idx="77">
                  <c:v>Mar-33</c:v>
                </c:pt>
                <c:pt idx="78">
                  <c:v>Apr-33</c:v>
                </c:pt>
                <c:pt idx="79">
                  <c:v>May-33</c:v>
                </c:pt>
                <c:pt idx="80">
                  <c:v>Jun-33</c:v>
                </c:pt>
                <c:pt idx="81">
                  <c:v>Jul-33</c:v>
                </c:pt>
                <c:pt idx="82">
                  <c:v>Aug-33</c:v>
                </c:pt>
                <c:pt idx="83">
                  <c:v>Sep-33</c:v>
                </c:pt>
                <c:pt idx="84">
                  <c:v>Oct-33</c:v>
                </c:pt>
                <c:pt idx="85">
                  <c:v>Nov-33</c:v>
                </c:pt>
                <c:pt idx="86">
                  <c:v>Dec-33</c:v>
                </c:pt>
                <c:pt idx="87">
                  <c:v>Jan-34</c:v>
                </c:pt>
                <c:pt idx="88">
                  <c:v>Feb-34</c:v>
                </c:pt>
                <c:pt idx="89">
                  <c:v>Mar-34</c:v>
                </c:pt>
                <c:pt idx="90">
                  <c:v>Apr-34</c:v>
                </c:pt>
                <c:pt idx="91">
                  <c:v>May-34</c:v>
                </c:pt>
                <c:pt idx="92">
                  <c:v>Jun-34</c:v>
                </c:pt>
                <c:pt idx="93">
                  <c:v>Jul-34</c:v>
                </c:pt>
                <c:pt idx="94">
                  <c:v>Aug-34</c:v>
                </c:pt>
                <c:pt idx="95">
                  <c:v>Sep-34</c:v>
                </c:pt>
                <c:pt idx="96">
                  <c:v>Oct-34</c:v>
                </c:pt>
                <c:pt idx="97">
                  <c:v>Nov-34</c:v>
                </c:pt>
                <c:pt idx="98">
                  <c:v>Dec-34</c:v>
                </c:pt>
                <c:pt idx="99">
                  <c:v>Jan-35</c:v>
                </c:pt>
                <c:pt idx="100">
                  <c:v>Feb-35</c:v>
                </c:pt>
                <c:pt idx="101">
                  <c:v>Mar-35</c:v>
                </c:pt>
                <c:pt idx="102">
                  <c:v>Apr-35</c:v>
                </c:pt>
                <c:pt idx="103">
                  <c:v>May-35</c:v>
                </c:pt>
                <c:pt idx="104">
                  <c:v>Jun-35</c:v>
                </c:pt>
                <c:pt idx="105">
                  <c:v>Jul-35</c:v>
                </c:pt>
                <c:pt idx="106">
                  <c:v>Aug-35</c:v>
                </c:pt>
                <c:pt idx="107">
                  <c:v>Sep-35</c:v>
                </c:pt>
                <c:pt idx="108">
                  <c:v>Oct-35</c:v>
                </c:pt>
                <c:pt idx="109">
                  <c:v>Nov-35</c:v>
                </c:pt>
                <c:pt idx="110">
                  <c:v>Dec-35</c:v>
                </c:pt>
                <c:pt idx="111">
                  <c:v>Jan-36</c:v>
                </c:pt>
                <c:pt idx="112">
                  <c:v>Feb-36</c:v>
                </c:pt>
                <c:pt idx="113">
                  <c:v>Mar-36</c:v>
                </c:pt>
                <c:pt idx="114">
                  <c:v>Apr-36</c:v>
                </c:pt>
                <c:pt idx="115">
                  <c:v>May-36</c:v>
                </c:pt>
                <c:pt idx="116">
                  <c:v>Jun-36</c:v>
                </c:pt>
                <c:pt idx="117">
                  <c:v>Jul-36</c:v>
                </c:pt>
                <c:pt idx="118">
                  <c:v>Aug-36</c:v>
                </c:pt>
                <c:pt idx="119">
                  <c:v>Sep-36</c:v>
                </c:pt>
              </c:numCache>
            </c:numRef>
          </c:cat>
          <c:val>
            <c:numRef>
              <c:f>Scenarios!$D$21:$D$140</c:f>
              <c:numCache>
                <c:formatCode>0.0</c:formatCode>
                <c:ptCount val="120"/>
                <c:pt idx="0">
                  <c:v>168.598382684833</c:v>
                </c:pt>
                <c:pt idx="1">
                  <c:v>167.694414590017</c:v>
                </c:pt>
                <c:pt idx="2">
                  <c:v>166.790595962001</c:v>
                </c:pt>
                <c:pt idx="3">
                  <c:v>171.743931588237</c:v>
                </c:pt>
                <c:pt idx="4">
                  <c:v>170.804663769948</c:v>
                </c:pt>
                <c:pt idx="5">
                  <c:v>169.865546160253</c:v>
                </c:pt>
                <c:pt idx="6">
                  <c:v>170.699849007234</c:v>
                </c:pt>
                <c:pt idx="7">
                  <c:v>169.761032559382</c:v>
                </c:pt>
                <c:pt idx="8">
                  <c:v>168.822367065598</c:v>
                </c:pt>
                <c:pt idx="9">
                  <c:v>167.883852775197</c:v>
                </c:pt>
                <c:pt idx="10">
                  <c:v>166.945489937902</c:v>
                </c:pt>
                <c:pt idx="11">
                  <c:v>166.00727880385</c:v>
                </c:pt>
                <c:pt idx="12">
                  <c:v>166.099435791647</c:v>
                </c:pt>
                <c:pt idx="13">
                  <c:v>166.191744984202</c:v>
                </c:pt>
                <c:pt idx="14">
                  <c:v>166.284206632893</c:v>
                </c:pt>
                <c:pt idx="15">
                  <c:v>167.774601605201</c:v>
                </c:pt>
                <c:pt idx="16">
                  <c:v>167.867368921962</c:v>
                </c:pt>
                <c:pt idx="17">
                  <c:v>167.960289451488</c:v>
                </c:pt>
                <c:pt idx="18">
                  <c:v>169.871851831824</c:v>
                </c:pt>
                <c:pt idx="19">
                  <c:v>169.96507954643</c:v>
                </c:pt>
                <c:pt idx="20">
                  <c:v>170.058461234186</c:v>
                </c:pt>
                <c:pt idx="21">
                  <c:v>170.151997149392</c:v>
                </c:pt>
                <c:pt idx="22">
                  <c:v>170.245687546767</c:v>
                </c:pt>
                <c:pt idx="23">
                  <c:v>170.33953268145</c:v>
                </c:pt>
                <c:pt idx="24">
                  <c:v>170.433532809002</c:v>
                </c:pt>
                <c:pt idx="25">
                  <c:v>170.527688185408</c:v>
                </c:pt>
                <c:pt idx="26">
                  <c:v>170.621999067073</c:v>
                </c:pt>
                <c:pt idx="27">
                  <c:v>172.78688266801</c:v>
                </c:pt>
                <c:pt idx="28">
                  <c:v>172.881505331106</c:v>
                </c:pt>
                <c:pt idx="29">
                  <c:v>172.976284271223</c:v>
                </c:pt>
                <c:pt idx="30">
                  <c:v>174.936079585283</c:v>
                </c:pt>
                <c:pt idx="31">
                  <c:v>175.031171854181</c:v>
                </c:pt>
                <c:pt idx="32">
                  <c:v>175.126421175693</c:v>
                </c:pt>
                <c:pt idx="33">
                  <c:v>175.221827809203</c:v>
                </c:pt>
                <c:pt idx="34">
                  <c:v>175.317392014525</c:v>
                </c:pt>
                <c:pt idx="35">
                  <c:v>175.413114051901</c:v>
                </c:pt>
                <c:pt idx="36">
                  <c:v>175.508994182005</c:v>
                </c:pt>
                <c:pt idx="37">
                  <c:v>175.605032665939</c:v>
                </c:pt>
                <c:pt idx="38">
                  <c:v>175.701229765237</c:v>
                </c:pt>
                <c:pt idx="39">
                  <c:v>177.934702359107</c:v>
                </c:pt>
                <c:pt idx="40">
                  <c:v>178.031217475465</c:v>
                </c:pt>
                <c:pt idx="41">
                  <c:v>178.127891994385</c:v>
                </c:pt>
                <c:pt idx="42">
                  <c:v>180.137139943839</c:v>
                </c:pt>
                <c:pt idx="43">
                  <c:v>180.234134058115</c:v>
                </c:pt>
                <c:pt idx="44">
                  <c:v>180.331288366057</c:v>
                </c:pt>
                <c:pt idx="45">
                  <c:v>180.428603132237</c:v>
                </c:pt>
                <c:pt idx="46">
                  <c:v>180.526078621666</c:v>
                </c:pt>
                <c:pt idx="47">
                  <c:v>180.62371509979</c:v>
                </c:pt>
                <c:pt idx="48">
                  <c:v>180.721512832495</c:v>
                </c:pt>
                <c:pt idx="49">
                  <c:v>180.819472086108</c:v>
                </c:pt>
                <c:pt idx="50">
                  <c:v>180.917593127392</c:v>
                </c:pt>
                <c:pt idx="51">
                  <c:v>183.221532320472</c:v>
                </c:pt>
                <c:pt idx="52">
                  <c:v>183.319977739157</c:v>
                </c:pt>
                <c:pt idx="53">
                  <c:v>183.418585748455</c:v>
                </c:pt>
                <c:pt idx="54">
                  <c:v>185.478536932605</c:v>
                </c:pt>
                <c:pt idx="55">
                  <c:v>185.577470929166</c:v>
                </c:pt>
                <c:pt idx="56">
                  <c:v>185.676568323267</c:v>
                </c:pt>
                <c:pt idx="57">
                  <c:v>185.775829384771</c:v>
                </c:pt>
                <c:pt idx="58">
                  <c:v>185.875254383987</c:v>
                </c:pt>
                <c:pt idx="59">
                  <c:v>185.974843591674</c:v>
                </c:pt>
                <c:pt idx="60">
                  <c:v>186.074597279034</c:v>
                </c:pt>
                <c:pt idx="61">
                  <c:v>186.174515717719</c:v>
                </c:pt>
                <c:pt idx="62">
                  <c:v>186.274599179828</c:v>
                </c:pt>
                <c:pt idx="63">
                  <c:v>187.979946444934</c:v>
                </c:pt>
                <c:pt idx="64">
                  <c:v>188.080360771993</c:v>
                </c:pt>
                <c:pt idx="65">
                  <c:v>188.180940941476</c:v>
                </c:pt>
                <c:pt idx="66">
                  <c:v>190.292877641045</c:v>
                </c:pt>
                <c:pt idx="67">
                  <c:v>190.393790317538</c:v>
                </c:pt>
                <c:pt idx="68">
                  <c:v>190.494869659521</c:v>
                </c:pt>
                <c:pt idx="69">
                  <c:v>190.596115942255</c:v>
                </c:pt>
                <c:pt idx="70">
                  <c:v>190.697529441456</c:v>
                </c:pt>
                <c:pt idx="71">
                  <c:v>190.799110433296</c:v>
                </c:pt>
                <c:pt idx="72">
                  <c:v>190.900859194403</c:v>
                </c:pt>
                <c:pt idx="73">
                  <c:v>191.002776001862</c:v>
                </c:pt>
                <c:pt idx="74">
                  <c:v>191.104861133214</c:v>
                </c:pt>
                <c:pt idx="75">
                  <c:v>193.542138497821</c:v>
                </c:pt>
                <c:pt idx="76">
                  <c:v>193.644561111421</c:v>
                </c:pt>
                <c:pt idx="77">
                  <c:v>193.747152884295</c:v>
                </c:pt>
                <c:pt idx="78">
                  <c:v>195.912389865131</c:v>
                </c:pt>
                <c:pt idx="79">
                  <c:v>196.015320795153</c:v>
                </c:pt>
                <c:pt idx="80">
                  <c:v>196.118421723976</c:v>
                </c:pt>
                <c:pt idx="81">
                  <c:v>196.221692932364</c:v>
                </c:pt>
                <c:pt idx="82">
                  <c:v>196.325134701549</c:v>
                </c:pt>
                <c:pt idx="83">
                  <c:v>196.428747313226</c:v>
                </c:pt>
                <c:pt idx="84">
                  <c:v>196.532531049556</c:v>
                </c:pt>
                <c:pt idx="85">
                  <c:v>196.636486193163</c:v>
                </c:pt>
                <c:pt idx="86">
                  <c:v>196.740613027142</c:v>
                </c:pt>
                <c:pt idx="87">
                  <c:v>199.254012078168</c:v>
                </c:pt>
                <c:pt idx="88">
                  <c:v>199.35848314404</c:v>
                </c:pt>
                <c:pt idx="89">
                  <c:v>199.463126752371</c:v>
                </c:pt>
                <c:pt idx="90">
                  <c:v>201.683012089555</c:v>
                </c:pt>
                <c:pt idx="91">
                  <c:v>201.788001638178</c:v>
                </c:pt>
                <c:pt idx="92">
                  <c:v>201.893164585577</c:v>
                </c:pt>
                <c:pt idx="93">
                  <c:v>201.998501218133</c:v>
                </c:pt>
                <c:pt idx="94">
                  <c:v>202.104011822702</c:v>
                </c:pt>
                <c:pt idx="95">
                  <c:v>202.209696686613</c:v>
                </c:pt>
                <c:pt idx="96">
                  <c:v>202.315556097669</c:v>
                </c:pt>
                <c:pt idx="97">
                  <c:v>202.421590344148</c:v>
                </c:pt>
                <c:pt idx="98">
                  <c:v>202.527799714807</c:v>
                </c:pt>
                <c:pt idx="99">
                  <c:v>204.407337030087</c:v>
                </c:pt>
                <c:pt idx="100">
                  <c:v>204.513897517276</c:v>
                </c:pt>
                <c:pt idx="101">
                  <c:v>204.620633997774</c:v>
                </c:pt>
                <c:pt idx="102">
                  <c:v>206.896549920659</c:v>
                </c:pt>
                <c:pt idx="103">
                  <c:v>207.003639260255</c:v>
                </c:pt>
                <c:pt idx="104">
                  <c:v>207.110905466602</c:v>
                </c:pt>
                <c:pt idx="105">
                  <c:v>207.218348831809</c:v>
                </c:pt>
                <c:pt idx="106">
                  <c:v>207.325969648469</c:v>
                </c:pt>
                <c:pt idx="107">
                  <c:v>207.433768209658</c:v>
                </c:pt>
                <c:pt idx="108">
                  <c:v>207.541744808935</c:v>
                </c:pt>
                <c:pt idx="109">
                  <c:v>207.649899740345</c:v>
                </c:pt>
                <c:pt idx="110">
                  <c:v>207.758233298416</c:v>
                </c:pt>
                <c:pt idx="111">
                  <c:v>210.415896873824</c:v>
                </c:pt>
                <c:pt idx="112">
                  <c:v>210.524588570757</c:v>
                </c:pt>
                <c:pt idx="113">
                  <c:v>210.633459780865</c:v>
                </c:pt>
                <c:pt idx="114">
                  <c:v>212.966823539579</c:v>
                </c:pt>
                <c:pt idx="115">
                  <c:v>213.076054665967</c:v>
                </c:pt>
                <c:pt idx="116">
                  <c:v>213.185466196441</c:v>
                </c:pt>
                <c:pt idx="117">
                  <c:v>213.295058428952</c:v>
                </c:pt>
                <c:pt idx="118">
                  <c:v>213.404831661946</c:v>
                </c:pt>
                <c:pt idx="119">
                  <c:v>213.514786194358</c:v>
                </c:pt>
              </c:numCache>
            </c:numRef>
          </c:val>
          <c:smooth val="0"/>
        </c:ser>
        <c:ser>
          <c:idx val="2"/>
          <c:order val="2"/>
          <c:tx>
            <c:strRef>
              <c:f>Scenarios!$E$20</c:f>
              <c:strCache>
                <c:ptCount val="1"/>
                <c:pt idx="0">
                  <c:v>High</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Scenarios!$A$21:$A$140</c:f>
              <c:numCache>
                <c:formatCode>mmm\-yy</c:formatCode>
                <c:ptCount val="120"/>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pt idx="15">
                  <c:v>Jan-28</c:v>
                </c:pt>
                <c:pt idx="16">
                  <c:v>Feb-28</c:v>
                </c:pt>
                <c:pt idx="17">
                  <c:v>Mar-28</c:v>
                </c:pt>
                <c:pt idx="18">
                  <c:v>Apr-28</c:v>
                </c:pt>
                <c:pt idx="19">
                  <c:v>May-28</c:v>
                </c:pt>
                <c:pt idx="20">
                  <c:v>Jun-28</c:v>
                </c:pt>
                <c:pt idx="21">
                  <c:v>Jul-28</c:v>
                </c:pt>
                <c:pt idx="22">
                  <c:v>Aug-28</c:v>
                </c:pt>
                <c:pt idx="23">
                  <c:v>Sep-28</c:v>
                </c:pt>
                <c:pt idx="24">
                  <c:v>Oct-28</c:v>
                </c:pt>
                <c:pt idx="25">
                  <c:v>Nov-28</c:v>
                </c:pt>
                <c:pt idx="26">
                  <c:v>Dec-28</c:v>
                </c:pt>
                <c:pt idx="27">
                  <c:v>Jan-29</c:v>
                </c:pt>
                <c:pt idx="28">
                  <c:v>Feb-29</c:v>
                </c:pt>
                <c:pt idx="29">
                  <c:v>Mar-29</c:v>
                </c:pt>
                <c:pt idx="30">
                  <c:v>Apr-29</c:v>
                </c:pt>
                <c:pt idx="31">
                  <c:v>May-29</c:v>
                </c:pt>
                <c:pt idx="32">
                  <c:v>Jun-29</c:v>
                </c:pt>
                <c:pt idx="33">
                  <c:v>Jul-29</c:v>
                </c:pt>
                <c:pt idx="34">
                  <c:v>Aug-29</c:v>
                </c:pt>
                <c:pt idx="35">
                  <c:v>Sep-29</c:v>
                </c:pt>
                <c:pt idx="36">
                  <c:v>Oct-29</c:v>
                </c:pt>
                <c:pt idx="37">
                  <c:v>Nov-29</c:v>
                </c:pt>
                <c:pt idx="38">
                  <c:v>Dec-29</c:v>
                </c:pt>
                <c:pt idx="39">
                  <c:v>Jan-30</c:v>
                </c:pt>
                <c:pt idx="40">
                  <c:v>Feb-30</c:v>
                </c:pt>
                <c:pt idx="41">
                  <c:v>Mar-30</c:v>
                </c:pt>
                <c:pt idx="42">
                  <c:v>Apr-30</c:v>
                </c:pt>
                <c:pt idx="43">
                  <c:v>May-30</c:v>
                </c:pt>
                <c:pt idx="44">
                  <c:v>Jun-30</c:v>
                </c:pt>
                <c:pt idx="45">
                  <c:v>Jul-30</c:v>
                </c:pt>
                <c:pt idx="46">
                  <c:v>Aug-30</c:v>
                </c:pt>
                <c:pt idx="47">
                  <c:v>Sep-30</c:v>
                </c:pt>
                <c:pt idx="48">
                  <c:v>Oct-30</c:v>
                </c:pt>
                <c:pt idx="49">
                  <c:v>Nov-30</c:v>
                </c:pt>
                <c:pt idx="50">
                  <c:v>Dec-30</c:v>
                </c:pt>
                <c:pt idx="51">
                  <c:v>Jan-31</c:v>
                </c:pt>
                <c:pt idx="52">
                  <c:v>Feb-31</c:v>
                </c:pt>
                <c:pt idx="53">
                  <c:v>Mar-31</c:v>
                </c:pt>
                <c:pt idx="54">
                  <c:v>Apr-31</c:v>
                </c:pt>
                <c:pt idx="55">
                  <c:v>May-31</c:v>
                </c:pt>
                <c:pt idx="56">
                  <c:v>Jun-31</c:v>
                </c:pt>
                <c:pt idx="57">
                  <c:v>Jul-31</c:v>
                </c:pt>
                <c:pt idx="58">
                  <c:v>Aug-31</c:v>
                </c:pt>
                <c:pt idx="59">
                  <c:v>Sep-31</c:v>
                </c:pt>
                <c:pt idx="60">
                  <c:v>Oct-31</c:v>
                </c:pt>
                <c:pt idx="61">
                  <c:v>Nov-31</c:v>
                </c:pt>
                <c:pt idx="62">
                  <c:v>Dec-31</c:v>
                </c:pt>
                <c:pt idx="63">
                  <c:v>Jan-32</c:v>
                </c:pt>
                <c:pt idx="64">
                  <c:v>Feb-32</c:v>
                </c:pt>
                <c:pt idx="65">
                  <c:v>Mar-32</c:v>
                </c:pt>
                <c:pt idx="66">
                  <c:v>Apr-32</c:v>
                </c:pt>
                <c:pt idx="67">
                  <c:v>May-32</c:v>
                </c:pt>
                <c:pt idx="68">
                  <c:v>Jun-32</c:v>
                </c:pt>
                <c:pt idx="69">
                  <c:v>Jul-32</c:v>
                </c:pt>
                <c:pt idx="70">
                  <c:v>Aug-32</c:v>
                </c:pt>
                <c:pt idx="71">
                  <c:v>Sep-32</c:v>
                </c:pt>
                <c:pt idx="72">
                  <c:v>Oct-32</c:v>
                </c:pt>
                <c:pt idx="73">
                  <c:v>Nov-32</c:v>
                </c:pt>
                <c:pt idx="74">
                  <c:v>Dec-32</c:v>
                </c:pt>
                <c:pt idx="75">
                  <c:v>Jan-33</c:v>
                </c:pt>
                <c:pt idx="76">
                  <c:v>Feb-33</c:v>
                </c:pt>
                <c:pt idx="77">
                  <c:v>Mar-33</c:v>
                </c:pt>
                <c:pt idx="78">
                  <c:v>Apr-33</c:v>
                </c:pt>
                <c:pt idx="79">
                  <c:v>May-33</c:v>
                </c:pt>
                <c:pt idx="80">
                  <c:v>Jun-33</c:v>
                </c:pt>
                <c:pt idx="81">
                  <c:v>Jul-33</c:v>
                </c:pt>
                <c:pt idx="82">
                  <c:v>Aug-33</c:v>
                </c:pt>
                <c:pt idx="83">
                  <c:v>Sep-33</c:v>
                </c:pt>
                <c:pt idx="84">
                  <c:v>Oct-33</c:v>
                </c:pt>
                <c:pt idx="85">
                  <c:v>Nov-33</c:v>
                </c:pt>
                <c:pt idx="86">
                  <c:v>Dec-33</c:v>
                </c:pt>
                <c:pt idx="87">
                  <c:v>Jan-34</c:v>
                </c:pt>
                <c:pt idx="88">
                  <c:v>Feb-34</c:v>
                </c:pt>
                <c:pt idx="89">
                  <c:v>Mar-34</c:v>
                </c:pt>
                <c:pt idx="90">
                  <c:v>Apr-34</c:v>
                </c:pt>
                <c:pt idx="91">
                  <c:v>May-34</c:v>
                </c:pt>
                <c:pt idx="92">
                  <c:v>Jun-34</c:v>
                </c:pt>
                <c:pt idx="93">
                  <c:v>Jul-34</c:v>
                </c:pt>
                <c:pt idx="94">
                  <c:v>Aug-34</c:v>
                </c:pt>
                <c:pt idx="95">
                  <c:v>Sep-34</c:v>
                </c:pt>
                <c:pt idx="96">
                  <c:v>Oct-34</c:v>
                </c:pt>
                <c:pt idx="97">
                  <c:v>Nov-34</c:v>
                </c:pt>
                <c:pt idx="98">
                  <c:v>Dec-34</c:v>
                </c:pt>
                <c:pt idx="99">
                  <c:v>Jan-35</c:v>
                </c:pt>
                <c:pt idx="100">
                  <c:v>Feb-35</c:v>
                </c:pt>
                <c:pt idx="101">
                  <c:v>Mar-35</c:v>
                </c:pt>
                <c:pt idx="102">
                  <c:v>Apr-35</c:v>
                </c:pt>
                <c:pt idx="103">
                  <c:v>May-35</c:v>
                </c:pt>
                <c:pt idx="104">
                  <c:v>Jun-35</c:v>
                </c:pt>
                <c:pt idx="105">
                  <c:v>Jul-35</c:v>
                </c:pt>
                <c:pt idx="106">
                  <c:v>Aug-35</c:v>
                </c:pt>
                <c:pt idx="107">
                  <c:v>Sep-35</c:v>
                </c:pt>
                <c:pt idx="108">
                  <c:v>Oct-35</c:v>
                </c:pt>
                <c:pt idx="109">
                  <c:v>Nov-35</c:v>
                </c:pt>
                <c:pt idx="110">
                  <c:v>Dec-35</c:v>
                </c:pt>
                <c:pt idx="111">
                  <c:v>Jan-36</c:v>
                </c:pt>
                <c:pt idx="112">
                  <c:v>Feb-36</c:v>
                </c:pt>
                <c:pt idx="113">
                  <c:v>Mar-36</c:v>
                </c:pt>
                <c:pt idx="114">
                  <c:v>Apr-36</c:v>
                </c:pt>
                <c:pt idx="115">
                  <c:v>May-36</c:v>
                </c:pt>
                <c:pt idx="116">
                  <c:v>Jun-36</c:v>
                </c:pt>
                <c:pt idx="117">
                  <c:v>Jul-36</c:v>
                </c:pt>
                <c:pt idx="118">
                  <c:v>Aug-36</c:v>
                </c:pt>
                <c:pt idx="119">
                  <c:v>Sep-36</c:v>
                </c:pt>
              </c:numCache>
            </c:numRef>
          </c:cat>
          <c:val>
            <c:numRef>
              <c:f>Scenarios!$E$21:$E$140</c:f>
              <c:numCache>
                <c:formatCode>0.0</c:formatCode>
                <c:ptCount val="120"/>
                <c:pt idx="0">
                  <c:v>169.839662714393</c:v>
                </c:pt>
                <c:pt idx="1">
                  <c:v>170.176974649137</c:v>
                </c:pt>
                <c:pt idx="2">
                  <c:v>170.514436050682</c:v>
                </c:pt>
                <c:pt idx="3">
                  <c:v>178.226392414613</c:v>
                </c:pt>
                <c:pt idx="4">
                  <c:v>178.907739802918</c:v>
                </c:pt>
                <c:pt idx="5">
                  <c:v>179.589237399817</c:v>
                </c:pt>
                <c:pt idx="6">
                  <c:v>182.044155453391</c:v>
                </c:pt>
                <c:pt idx="7">
                  <c:v>182.725954212133</c:v>
                </c:pt>
                <c:pt idx="8">
                  <c:v>183.407903924944</c:v>
                </c:pt>
                <c:pt idx="9">
                  <c:v>184.090004841136</c:v>
                </c:pt>
                <c:pt idx="10">
                  <c:v>184.772257210435</c:v>
                </c:pt>
                <c:pt idx="11">
                  <c:v>185.454661282977</c:v>
                </c:pt>
                <c:pt idx="12">
                  <c:v>185.546818270774</c:v>
                </c:pt>
                <c:pt idx="13">
                  <c:v>185.639127463329</c:v>
                </c:pt>
                <c:pt idx="14">
                  <c:v>185.73158911202</c:v>
                </c:pt>
                <c:pt idx="15">
                  <c:v>188.230817050433</c:v>
                </c:pt>
                <c:pt idx="16">
                  <c:v>188.323584367193</c:v>
                </c:pt>
                <c:pt idx="17">
                  <c:v>188.41650489672</c:v>
                </c:pt>
                <c:pt idx="18">
                  <c:v>190.328067277056</c:v>
                </c:pt>
                <c:pt idx="19">
                  <c:v>190.421294991662</c:v>
                </c:pt>
                <c:pt idx="20">
                  <c:v>190.514676679418</c:v>
                </c:pt>
                <c:pt idx="21">
                  <c:v>190.608212594624</c:v>
                </c:pt>
                <c:pt idx="22">
                  <c:v>190.701902991998</c:v>
                </c:pt>
                <c:pt idx="23">
                  <c:v>190.795748126681</c:v>
                </c:pt>
                <c:pt idx="24">
                  <c:v>190.889748254234</c:v>
                </c:pt>
                <c:pt idx="25">
                  <c:v>190.983903630639</c:v>
                </c:pt>
                <c:pt idx="26">
                  <c:v>191.078214512304</c:v>
                </c:pt>
                <c:pt idx="27">
                  <c:v>193.652222422146</c:v>
                </c:pt>
                <c:pt idx="28">
                  <c:v>193.746845085242</c:v>
                </c:pt>
                <c:pt idx="29">
                  <c:v>193.84162402536</c:v>
                </c:pt>
                <c:pt idx="30">
                  <c:v>195.80141933942</c:v>
                </c:pt>
                <c:pt idx="31">
                  <c:v>195.896511608318</c:v>
                </c:pt>
                <c:pt idx="32">
                  <c:v>195.991760929829</c:v>
                </c:pt>
                <c:pt idx="33">
                  <c:v>196.087167563339</c:v>
                </c:pt>
                <c:pt idx="34">
                  <c:v>196.182731768661</c:v>
                </c:pt>
                <c:pt idx="35">
                  <c:v>196.278453806038</c:v>
                </c:pt>
                <c:pt idx="36">
                  <c:v>196.374333936141</c:v>
                </c:pt>
                <c:pt idx="37">
                  <c:v>196.470372420075</c:v>
                </c:pt>
                <c:pt idx="38">
                  <c:v>196.566569519373</c:v>
                </c:pt>
                <c:pt idx="39">
                  <c:v>199.217348908326</c:v>
                </c:pt>
                <c:pt idx="40">
                  <c:v>199.313864024684</c:v>
                </c:pt>
                <c:pt idx="41">
                  <c:v>199.410538543604</c:v>
                </c:pt>
                <c:pt idx="42">
                  <c:v>201.419786493058</c:v>
                </c:pt>
                <c:pt idx="43">
                  <c:v>201.516780607334</c:v>
                </c:pt>
                <c:pt idx="44">
                  <c:v>201.613934915276</c:v>
                </c:pt>
                <c:pt idx="45">
                  <c:v>201.711249681456</c:v>
                </c:pt>
                <c:pt idx="46">
                  <c:v>201.808725170885</c:v>
                </c:pt>
                <c:pt idx="47">
                  <c:v>201.906361649009</c:v>
                </c:pt>
                <c:pt idx="48">
                  <c:v>202.004159381714</c:v>
                </c:pt>
                <c:pt idx="49">
                  <c:v>202.102118635327</c:v>
                </c:pt>
                <c:pt idx="50">
                  <c:v>202.200239676611</c:v>
                </c:pt>
                <c:pt idx="51">
                  <c:v>204.2720045437</c:v>
                </c:pt>
                <c:pt idx="52">
                  <c:v>204.370449962385</c:v>
                </c:pt>
                <c:pt idx="53">
                  <c:v>204.469057971683</c:v>
                </c:pt>
                <c:pt idx="54">
                  <c:v>206.529009155832</c:v>
                </c:pt>
                <c:pt idx="55">
                  <c:v>206.627943152394</c:v>
                </c:pt>
                <c:pt idx="56">
                  <c:v>206.727040546494</c:v>
                </c:pt>
                <c:pt idx="57">
                  <c:v>206.826301607998</c:v>
                </c:pt>
                <c:pt idx="58">
                  <c:v>206.925726607215</c:v>
                </c:pt>
                <c:pt idx="59">
                  <c:v>207.025315814902</c:v>
                </c:pt>
                <c:pt idx="60">
                  <c:v>207.125069502261</c:v>
                </c:pt>
                <c:pt idx="61">
                  <c:v>207.224987940946</c:v>
                </c:pt>
                <c:pt idx="62">
                  <c:v>207.325071403056</c:v>
                </c:pt>
                <c:pt idx="63">
                  <c:v>210.122411914741</c:v>
                </c:pt>
                <c:pt idx="64">
                  <c:v>210.2228262418</c:v>
                </c:pt>
                <c:pt idx="65">
                  <c:v>210.323406411284</c:v>
                </c:pt>
                <c:pt idx="66">
                  <c:v>212.435343110853</c:v>
                </c:pt>
                <c:pt idx="67">
                  <c:v>212.536255787346</c:v>
                </c:pt>
                <c:pt idx="68">
                  <c:v>212.637335129328</c:v>
                </c:pt>
                <c:pt idx="69">
                  <c:v>212.738581412062</c:v>
                </c:pt>
                <c:pt idx="70">
                  <c:v>212.839994911263</c:v>
                </c:pt>
                <c:pt idx="71">
                  <c:v>212.941575903104</c:v>
                </c:pt>
                <c:pt idx="72">
                  <c:v>213.043324664211</c:v>
                </c:pt>
                <c:pt idx="73">
                  <c:v>213.145241471669</c:v>
                </c:pt>
                <c:pt idx="74">
                  <c:v>213.247326603021</c:v>
                </c:pt>
                <c:pt idx="75">
                  <c:v>216.127453277025</c:v>
                </c:pt>
                <c:pt idx="76">
                  <c:v>216.229875890625</c:v>
                </c:pt>
                <c:pt idx="77">
                  <c:v>216.332467663498</c:v>
                </c:pt>
                <c:pt idx="78">
                  <c:v>218.497704644334</c:v>
                </c:pt>
                <c:pt idx="79">
                  <c:v>218.600635574357</c:v>
                </c:pt>
                <c:pt idx="80">
                  <c:v>218.703736503179</c:v>
                </c:pt>
                <c:pt idx="81">
                  <c:v>218.807007711568</c:v>
                </c:pt>
                <c:pt idx="82">
                  <c:v>218.910449480753</c:v>
                </c:pt>
                <c:pt idx="83">
                  <c:v>219.01406209243</c:v>
                </c:pt>
                <c:pt idx="84">
                  <c:v>219.117845828759</c:v>
                </c:pt>
                <c:pt idx="85">
                  <c:v>219.221800972367</c:v>
                </c:pt>
                <c:pt idx="86">
                  <c:v>219.325927806346</c:v>
                </c:pt>
                <c:pt idx="87">
                  <c:v>222.291033152956</c:v>
                </c:pt>
                <c:pt idx="88">
                  <c:v>222.395504218828</c:v>
                </c:pt>
                <c:pt idx="89">
                  <c:v>222.500147827159</c:v>
                </c:pt>
                <c:pt idx="90">
                  <c:v>224.720033164343</c:v>
                </c:pt>
                <c:pt idx="91">
                  <c:v>224.825022712966</c:v>
                </c:pt>
                <c:pt idx="92">
                  <c:v>224.930185660365</c:v>
                </c:pt>
                <c:pt idx="93">
                  <c:v>225.035522292921</c:v>
                </c:pt>
                <c:pt idx="94">
                  <c:v>225.14103289749</c:v>
                </c:pt>
                <c:pt idx="95">
                  <c:v>225.246717761401</c:v>
                </c:pt>
                <c:pt idx="96">
                  <c:v>225.352577172456</c:v>
                </c:pt>
                <c:pt idx="97">
                  <c:v>225.458611418936</c:v>
                </c:pt>
                <c:pt idx="98">
                  <c:v>225.564820789595</c:v>
                </c:pt>
                <c:pt idx="99">
                  <c:v>227.90509852637</c:v>
                </c:pt>
                <c:pt idx="100">
                  <c:v>228.01165901356</c:v>
                </c:pt>
                <c:pt idx="101">
                  <c:v>228.118395494057</c:v>
                </c:pt>
                <c:pt idx="102">
                  <c:v>230.394311416943</c:v>
                </c:pt>
                <c:pt idx="103">
                  <c:v>230.501400756539</c:v>
                </c:pt>
                <c:pt idx="104">
                  <c:v>230.608666962885</c:v>
                </c:pt>
                <c:pt idx="105">
                  <c:v>230.716110328093</c:v>
                </c:pt>
                <c:pt idx="106">
                  <c:v>230.823731144753</c:v>
                </c:pt>
                <c:pt idx="107">
                  <c:v>230.931529705942</c:v>
                </c:pt>
                <c:pt idx="108">
                  <c:v>231.039506305219</c:v>
                </c:pt>
                <c:pt idx="109">
                  <c:v>231.147661236628</c:v>
                </c:pt>
                <c:pt idx="110">
                  <c:v>231.2559947947</c:v>
                </c:pt>
                <c:pt idx="111">
                  <c:v>234.383613600033</c:v>
                </c:pt>
                <c:pt idx="112">
                  <c:v>234.492305296967</c:v>
                </c:pt>
                <c:pt idx="113">
                  <c:v>234.601176507074</c:v>
                </c:pt>
                <c:pt idx="114">
                  <c:v>236.934540265789</c:v>
                </c:pt>
                <c:pt idx="115">
                  <c:v>237.043771392176</c:v>
                </c:pt>
                <c:pt idx="116">
                  <c:v>237.15318292265</c:v>
                </c:pt>
                <c:pt idx="117">
                  <c:v>237.262775155161</c:v>
                </c:pt>
                <c:pt idx="118">
                  <c:v>237.372548388155</c:v>
                </c:pt>
                <c:pt idx="119">
                  <c:v>237.482502920567</c:v>
                </c:pt>
              </c:numCache>
            </c:numRef>
          </c:val>
          <c:smooth val="0"/>
        </c:ser>
        <c:ser>
          <c:idx val="3"/>
          <c:order val="3"/>
          <c:tx>
            <c:strRef>
              <c:f>Scenarios!$F$20</c:f>
              <c:strCache>
                <c:ptCount val="1"/>
                <c:pt idx="0">
                  <c:v>Statistical baseline
(ARIMA)</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Scenarios!$A$21:$A$140</c:f>
              <c:numCache>
                <c:formatCode>mmm\-yy</c:formatCode>
                <c:ptCount val="120"/>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pt idx="15">
                  <c:v>Jan-28</c:v>
                </c:pt>
                <c:pt idx="16">
                  <c:v>Feb-28</c:v>
                </c:pt>
                <c:pt idx="17">
                  <c:v>Mar-28</c:v>
                </c:pt>
                <c:pt idx="18">
                  <c:v>Apr-28</c:v>
                </c:pt>
                <c:pt idx="19">
                  <c:v>May-28</c:v>
                </c:pt>
                <c:pt idx="20">
                  <c:v>Jun-28</c:v>
                </c:pt>
                <c:pt idx="21">
                  <c:v>Jul-28</c:v>
                </c:pt>
                <c:pt idx="22">
                  <c:v>Aug-28</c:v>
                </c:pt>
                <c:pt idx="23">
                  <c:v>Sep-28</c:v>
                </c:pt>
                <c:pt idx="24">
                  <c:v>Oct-28</c:v>
                </c:pt>
                <c:pt idx="25">
                  <c:v>Nov-28</c:v>
                </c:pt>
                <c:pt idx="26">
                  <c:v>Dec-28</c:v>
                </c:pt>
                <c:pt idx="27">
                  <c:v>Jan-29</c:v>
                </c:pt>
                <c:pt idx="28">
                  <c:v>Feb-29</c:v>
                </c:pt>
                <c:pt idx="29">
                  <c:v>Mar-29</c:v>
                </c:pt>
                <c:pt idx="30">
                  <c:v>Apr-29</c:v>
                </c:pt>
                <c:pt idx="31">
                  <c:v>May-29</c:v>
                </c:pt>
                <c:pt idx="32">
                  <c:v>Jun-29</c:v>
                </c:pt>
                <c:pt idx="33">
                  <c:v>Jul-29</c:v>
                </c:pt>
                <c:pt idx="34">
                  <c:v>Aug-29</c:v>
                </c:pt>
                <c:pt idx="35">
                  <c:v>Sep-29</c:v>
                </c:pt>
                <c:pt idx="36">
                  <c:v>Oct-29</c:v>
                </c:pt>
                <c:pt idx="37">
                  <c:v>Nov-29</c:v>
                </c:pt>
                <c:pt idx="38">
                  <c:v>Dec-29</c:v>
                </c:pt>
                <c:pt idx="39">
                  <c:v>Jan-30</c:v>
                </c:pt>
                <c:pt idx="40">
                  <c:v>Feb-30</c:v>
                </c:pt>
                <c:pt idx="41">
                  <c:v>Mar-30</c:v>
                </c:pt>
                <c:pt idx="42">
                  <c:v>Apr-30</c:v>
                </c:pt>
                <c:pt idx="43">
                  <c:v>May-30</c:v>
                </c:pt>
                <c:pt idx="44">
                  <c:v>Jun-30</c:v>
                </c:pt>
                <c:pt idx="45">
                  <c:v>Jul-30</c:v>
                </c:pt>
                <c:pt idx="46">
                  <c:v>Aug-30</c:v>
                </c:pt>
                <c:pt idx="47">
                  <c:v>Sep-30</c:v>
                </c:pt>
                <c:pt idx="48">
                  <c:v>Oct-30</c:v>
                </c:pt>
                <c:pt idx="49">
                  <c:v>Nov-30</c:v>
                </c:pt>
                <c:pt idx="50">
                  <c:v>Dec-30</c:v>
                </c:pt>
                <c:pt idx="51">
                  <c:v>Jan-31</c:v>
                </c:pt>
                <c:pt idx="52">
                  <c:v>Feb-31</c:v>
                </c:pt>
                <c:pt idx="53">
                  <c:v>Mar-31</c:v>
                </c:pt>
                <c:pt idx="54">
                  <c:v>Apr-31</c:v>
                </c:pt>
                <c:pt idx="55">
                  <c:v>May-31</c:v>
                </c:pt>
                <c:pt idx="56">
                  <c:v>Jun-31</c:v>
                </c:pt>
                <c:pt idx="57">
                  <c:v>Jul-31</c:v>
                </c:pt>
                <c:pt idx="58">
                  <c:v>Aug-31</c:v>
                </c:pt>
                <c:pt idx="59">
                  <c:v>Sep-31</c:v>
                </c:pt>
                <c:pt idx="60">
                  <c:v>Oct-31</c:v>
                </c:pt>
                <c:pt idx="61">
                  <c:v>Nov-31</c:v>
                </c:pt>
                <c:pt idx="62">
                  <c:v>Dec-31</c:v>
                </c:pt>
                <c:pt idx="63">
                  <c:v>Jan-32</c:v>
                </c:pt>
                <c:pt idx="64">
                  <c:v>Feb-32</c:v>
                </c:pt>
                <c:pt idx="65">
                  <c:v>Mar-32</c:v>
                </c:pt>
                <c:pt idx="66">
                  <c:v>Apr-32</c:v>
                </c:pt>
                <c:pt idx="67">
                  <c:v>May-32</c:v>
                </c:pt>
                <c:pt idx="68">
                  <c:v>Jun-32</c:v>
                </c:pt>
                <c:pt idx="69">
                  <c:v>Jul-32</c:v>
                </c:pt>
                <c:pt idx="70">
                  <c:v>Aug-32</c:v>
                </c:pt>
                <c:pt idx="71">
                  <c:v>Sep-32</c:v>
                </c:pt>
                <c:pt idx="72">
                  <c:v>Oct-32</c:v>
                </c:pt>
                <c:pt idx="73">
                  <c:v>Nov-32</c:v>
                </c:pt>
                <c:pt idx="74">
                  <c:v>Dec-32</c:v>
                </c:pt>
                <c:pt idx="75">
                  <c:v>Jan-33</c:v>
                </c:pt>
                <c:pt idx="76">
                  <c:v>Feb-33</c:v>
                </c:pt>
                <c:pt idx="77">
                  <c:v>Mar-33</c:v>
                </c:pt>
                <c:pt idx="78">
                  <c:v>Apr-33</c:v>
                </c:pt>
                <c:pt idx="79">
                  <c:v>May-33</c:v>
                </c:pt>
                <c:pt idx="80">
                  <c:v>Jun-33</c:v>
                </c:pt>
                <c:pt idx="81">
                  <c:v>Jul-33</c:v>
                </c:pt>
                <c:pt idx="82">
                  <c:v>Aug-33</c:v>
                </c:pt>
                <c:pt idx="83">
                  <c:v>Sep-33</c:v>
                </c:pt>
                <c:pt idx="84">
                  <c:v>Oct-33</c:v>
                </c:pt>
                <c:pt idx="85">
                  <c:v>Nov-33</c:v>
                </c:pt>
                <c:pt idx="86">
                  <c:v>Dec-33</c:v>
                </c:pt>
                <c:pt idx="87">
                  <c:v>Jan-34</c:v>
                </c:pt>
                <c:pt idx="88">
                  <c:v>Feb-34</c:v>
                </c:pt>
                <c:pt idx="89">
                  <c:v>Mar-34</c:v>
                </c:pt>
                <c:pt idx="90">
                  <c:v>Apr-34</c:v>
                </c:pt>
                <c:pt idx="91">
                  <c:v>May-34</c:v>
                </c:pt>
                <c:pt idx="92">
                  <c:v>Jun-34</c:v>
                </c:pt>
                <c:pt idx="93">
                  <c:v>Jul-34</c:v>
                </c:pt>
                <c:pt idx="94">
                  <c:v>Aug-34</c:v>
                </c:pt>
                <c:pt idx="95">
                  <c:v>Sep-34</c:v>
                </c:pt>
                <c:pt idx="96">
                  <c:v>Oct-34</c:v>
                </c:pt>
                <c:pt idx="97">
                  <c:v>Nov-34</c:v>
                </c:pt>
                <c:pt idx="98">
                  <c:v>Dec-34</c:v>
                </c:pt>
                <c:pt idx="99">
                  <c:v>Jan-35</c:v>
                </c:pt>
                <c:pt idx="100">
                  <c:v>Feb-35</c:v>
                </c:pt>
                <c:pt idx="101">
                  <c:v>Mar-35</c:v>
                </c:pt>
                <c:pt idx="102">
                  <c:v>Apr-35</c:v>
                </c:pt>
                <c:pt idx="103">
                  <c:v>May-35</c:v>
                </c:pt>
                <c:pt idx="104">
                  <c:v>Jun-35</c:v>
                </c:pt>
                <c:pt idx="105">
                  <c:v>Jul-35</c:v>
                </c:pt>
                <c:pt idx="106">
                  <c:v>Aug-35</c:v>
                </c:pt>
                <c:pt idx="107">
                  <c:v>Sep-35</c:v>
                </c:pt>
                <c:pt idx="108">
                  <c:v>Oct-35</c:v>
                </c:pt>
                <c:pt idx="109">
                  <c:v>Nov-35</c:v>
                </c:pt>
                <c:pt idx="110">
                  <c:v>Dec-35</c:v>
                </c:pt>
                <c:pt idx="111">
                  <c:v>Jan-36</c:v>
                </c:pt>
                <c:pt idx="112">
                  <c:v>Feb-36</c:v>
                </c:pt>
                <c:pt idx="113">
                  <c:v>Mar-36</c:v>
                </c:pt>
                <c:pt idx="114">
                  <c:v>Apr-36</c:v>
                </c:pt>
                <c:pt idx="115">
                  <c:v>May-36</c:v>
                </c:pt>
                <c:pt idx="116">
                  <c:v>Jun-36</c:v>
                </c:pt>
                <c:pt idx="117">
                  <c:v>Jul-36</c:v>
                </c:pt>
                <c:pt idx="118">
                  <c:v>Aug-36</c:v>
                </c:pt>
                <c:pt idx="119">
                  <c:v>Sep-36</c:v>
                </c:pt>
              </c:numCache>
            </c:numRef>
          </c:cat>
          <c:val>
            <c:numRef>
              <c:f>Scenarios!$F$21:$F$140</c:f>
              <c:numCache>
                <c:formatCode>0.0</c:formatCode>
                <c:ptCount val="120"/>
                <c:pt idx="0">
                  <c:v>171.035489079739</c:v>
                </c:pt>
                <c:pt idx="1">
                  <c:v>168.821692854718</c:v>
                </c:pt>
                <c:pt idx="2">
                  <c:v>168.430504403642</c:v>
                </c:pt>
                <c:pt idx="3">
                  <c:v>169.34647914869</c:v>
                </c:pt>
                <c:pt idx="4">
                  <c:v>169.411955780673</c:v>
                </c:pt>
                <c:pt idx="5">
                  <c:v>169.042394089275</c:v>
                </c:pt>
                <c:pt idx="6">
                  <c:v>169.052591939807</c:v>
                </c:pt>
                <c:pt idx="7">
                  <c:v>169.198113943156</c:v>
                </c:pt>
                <c:pt idx="8">
                  <c:v>169.179833180142</c:v>
                </c:pt>
                <c:pt idx="9">
                  <c:v>169.123926780529</c:v>
                </c:pt>
                <c:pt idx="10">
                  <c:v>169.136644325367</c:v>
                </c:pt>
                <c:pt idx="11">
                  <c:v>169.157565214676</c:v>
                </c:pt>
                <c:pt idx="12">
                  <c:v>169.150476237593</c:v>
                </c:pt>
                <c:pt idx="13">
                  <c:v>169.142875327872</c:v>
                </c:pt>
                <c:pt idx="14">
                  <c:v>169.146429547747</c:v>
                </c:pt>
                <c:pt idx="15">
                  <c:v>169.149095333632</c:v>
                </c:pt>
                <c:pt idx="16">
                  <c:v>169.147425379655</c:v>
                </c:pt>
                <c:pt idx="17">
                  <c:v>169.146531863794</c:v>
                </c:pt>
                <c:pt idx="18">
                  <c:v>169.147281368843</c:v>
                </c:pt>
                <c:pt idx="19">
                  <c:v>169.147562289827</c:v>
                </c:pt>
                <c:pt idx="20">
                  <c:v>169.147237649486</c:v>
                </c:pt>
                <c:pt idx="21">
                  <c:v>169.147158035305</c:v>
                </c:pt>
                <c:pt idx="22">
                  <c:v>169.147294534447</c:v>
                </c:pt>
                <c:pt idx="23">
                  <c:v>169.14731274415</c:v>
                </c:pt>
                <c:pt idx="24">
                  <c:v>169.147256844868</c:v>
                </c:pt>
                <c:pt idx="25">
                  <c:v>169.147255094379</c:v>
                </c:pt>
                <c:pt idx="26">
                  <c:v>169.147277427975</c:v>
                </c:pt>
                <c:pt idx="27">
                  <c:v>169.147275936908</c:v>
                </c:pt>
                <c:pt idx="28">
                  <c:v>169.147267228213</c:v>
                </c:pt>
                <c:pt idx="29">
                  <c:v>169.14726867142</c:v>
                </c:pt>
                <c:pt idx="30">
                  <c:v>169.147271982946</c:v>
                </c:pt>
                <c:pt idx="31">
                  <c:v>169.147271086765</c:v>
                </c:pt>
                <c:pt idx="32">
                  <c:v>169.147269861528</c:v>
                </c:pt>
                <c:pt idx="33">
                  <c:v>169.147270336711</c:v>
                </c:pt>
                <c:pt idx="34">
                  <c:v>169.147270775989</c:v>
                </c:pt>
                <c:pt idx="35">
                  <c:v>169.147270544615</c:v>
                </c:pt>
                <c:pt idx="36">
                  <c:v>169.147270393093</c:v>
                </c:pt>
                <c:pt idx="37">
                  <c:v>169.14727049965</c:v>
                </c:pt>
                <c:pt idx="38">
                  <c:v>169.147270549298</c:v>
                </c:pt>
                <c:pt idx="39">
                  <c:v>169.147270502194</c:v>
                </c:pt>
                <c:pt idx="40">
                  <c:v>169.147270487119</c:v>
                </c:pt>
                <c:pt idx="41">
                  <c:v>169.147270507269</c:v>
                </c:pt>
                <c:pt idx="42">
                  <c:v>169.147270511274</c:v>
                </c:pt>
                <c:pt idx="43">
                  <c:v>169.147270502894</c:v>
                </c:pt>
                <c:pt idx="44">
                  <c:v>169.147270502125</c:v>
                </c:pt>
                <c:pt idx="45">
                  <c:v>169.147270505523</c:v>
                </c:pt>
                <c:pt idx="46">
                  <c:v>169.147270505495</c:v>
                </c:pt>
                <c:pt idx="47">
                  <c:v>169.147270504151</c:v>
                </c:pt>
                <c:pt idx="48">
                  <c:v>169.147270504294</c:v>
                </c:pt>
                <c:pt idx="49">
                  <c:v>169.147270504813</c:v>
                </c:pt>
                <c:pt idx="50">
                  <c:v>169.147270504705</c:v>
                </c:pt>
                <c:pt idx="51">
                  <c:v>169.14727050451</c:v>
                </c:pt>
                <c:pt idx="52">
                  <c:v>169.147270504572</c:v>
                </c:pt>
                <c:pt idx="53">
                  <c:v>169.147270504643</c:v>
                </c:pt>
                <c:pt idx="54">
                  <c:v>169.147270504612</c:v>
                </c:pt>
                <c:pt idx="55">
                  <c:v>169.147270504586</c:v>
                </c:pt>
                <c:pt idx="56">
                  <c:v>169.147270504601</c:v>
                </c:pt>
                <c:pt idx="57">
                  <c:v>169.14727050461</c:v>
                </c:pt>
                <c:pt idx="58">
                  <c:v>169.147270504603</c:v>
                </c:pt>
                <c:pt idx="59">
                  <c:v>169.1472705046</c:v>
                </c:pt>
                <c:pt idx="60">
                  <c:v>169.147270504603</c:v>
                </c:pt>
                <c:pt idx="61">
                  <c:v>169.147270504604</c:v>
                </c:pt>
                <c:pt idx="62">
                  <c:v>169.147270504603</c:v>
                </c:pt>
                <c:pt idx="63">
                  <c:v>169.147270504603</c:v>
                </c:pt>
                <c:pt idx="64">
                  <c:v>169.147270504603</c:v>
                </c:pt>
                <c:pt idx="65">
                  <c:v>169.147270504603</c:v>
                </c:pt>
                <c:pt idx="66">
                  <c:v>169.147270504603</c:v>
                </c:pt>
                <c:pt idx="67">
                  <c:v>169.147270504603</c:v>
                </c:pt>
                <c:pt idx="68">
                  <c:v>169.147270504603</c:v>
                </c:pt>
                <c:pt idx="69">
                  <c:v>169.147270504603</c:v>
                </c:pt>
                <c:pt idx="70">
                  <c:v>169.147270504603</c:v>
                </c:pt>
                <c:pt idx="71">
                  <c:v>169.147270504603</c:v>
                </c:pt>
                <c:pt idx="72">
                  <c:v>169.147270504603</c:v>
                </c:pt>
                <c:pt idx="73">
                  <c:v>169.147270504603</c:v>
                </c:pt>
                <c:pt idx="74">
                  <c:v>169.147270504603</c:v>
                </c:pt>
                <c:pt idx="75">
                  <c:v>169.147270504603</c:v>
                </c:pt>
                <c:pt idx="76">
                  <c:v>169.147270504603</c:v>
                </c:pt>
                <c:pt idx="77">
                  <c:v>169.147270504603</c:v>
                </c:pt>
                <c:pt idx="78">
                  <c:v>169.147270504603</c:v>
                </c:pt>
                <c:pt idx="79">
                  <c:v>169.147270504603</c:v>
                </c:pt>
                <c:pt idx="80">
                  <c:v>169.147270504603</c:v>
                </c:pt>
                <c:pt idx="81">
                  <c:v>169.147270504603</c:v>
                </c:pt>
                <c:pt idx="82">
                  <c:v>169.147270504603</c:v>
                </c:pt>
                <c:pt idx="83">
                  <c:v>169.147270504603</c:v>
                </c:pt>
                <c:pt idx="84">
                  <c:v>169.147270504603</c:v>
                </c:pt>
                <c:pt idx="85">
                  <c:v>169.147270504603</c:v>
                </c:pt>
                <c:pt idx="86">
                  <c:v>169.147270504603</c:v>
                </c:pt>
                <c:pt idx="87">
                  <c:v>169.147270504603</c:v>
                </c:pt>
                <c:pt idx="88">
                  <c:v>169.147270504603</c:v>
                </c:pt>
                <c:pt idx="89">
                  <c:v>169.147270504603</c:v>
                </c:pt>
                <c:pt idx="90">
                  <c:v>169.147270504603</c:v>
                </c:pt>
                <c:pt idx="91">
                  <c:v>169.147270504603</c:v>
                </c:pt>
                <c:pt idx="92">
                  <c:v>169.147270504603</c:v>
                </c:pt>
                <c:pt idx="93">
                  <c:v>169.147270504603</c:v>
                </c:pt>
                <c:pt idx="94">
                  <c:v>169.147270504603</c:v>
                </c:pt>
                <c:pt idx="95">
                  <c:v>169.147270504603</c:v>
                </c:pt>
                <c:pt idx="96">
                  <c:v>169.147270504603</c:v>
                </c:pt>
                <c:pt idx="97">
                  <c:v>169.147270504603</c:v>
                </c:pt>
                <c:pt idx="98">
                  <c:v>169.147270504603</c:v>
                </c:pt>
                <c:pt idx="99">
                  <c:v>169.147270504603</c:v>
                </c:pt>
                <c:pt idx="100">
                  <c:v>169.147270504603</c:v>
                </c:pt>
                <c:pt idx="101">
                  <c:v>169.147270504603</c:v>
                </c:pt>
                <c:pt idx="102">
                  <c:v>169.147270504603</c:v>
                </c:pt>
                <c:pt idx="103">
                  <c:v>169.147270504603</c:v>
                </c:pt>
                <c:pt idx="104">
                  <c:v>169.147270504603</c:v>
                </c:pt>
                <c:pt idx="105">
                  <c:v>169.147270504603</c:v>
                </c:pt>
                <c:pt idx="106">
                  <c:v>169.147270504603</c:v>
                </c:pt>
                <c:pt idx="107">
                  <c:v>169.147270504603</c:v>
                </c:pt>
                <c:pt idx="108">
                  <c:v>169.147270504603</c:v>
                </c:pt>
                <c:pt idx="109">
                  <c:v>169.147270504603</c:v>
                </c:pt>
                <c:pt idx="110">
                  <c:v>169.147270504603</c:v>
                </c:pt>
                <c:pt idx="111">
                  <c:v>169.147270504603</c:v>
                </c:pt>
                <c:pt idx="112">
                  <c:v>169.147270504603</c:v>
                </c:pt>
                <c:pt idx="113">
                  <c:v>169.147270504603</c:v>
                </c:pt>
                <c:pt idx="114">
                  <c:v>169.147270504603</c:v>
                </c:pt>
                <c:pt idx="115">
                  <c:v>169.147270504603</c:v>
                </c:pt>
                <c:pt idx="116">
                  <c:v>169.147270504603</c:v>
                </c:pt>
                <c:pt idx="117">
                  <c:v>169.147270504603</c:v>
                </c:pt>
                <c:pt idx="118">
                  <c:v>169.147270504603</c:v>
                </c:pt>
                <c:pt idx="119">
                  <c:v>169.147270504603</c:v>
                </c:pt>
              </c:numCache>
            </c:numRef>
          </c:val>
          <c:smooth val="0"/>
        </c:ser>
        <c:ser>
          <c:idx val="4"/>
          <c:order val="4"/>
          <c:tx>
            <c:strRef>
              <c:f>Scenarios!$G$20</c:f>
              <c:strCache>
                <c:ptCount val="1"/>
                <c:pt idx="0">
                  <c:v>ARIMA 80%
low</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Scenarios!$A$21:$A$140</c:f>
              <c:numCache>
                <c:formatCode>mmm\-yy</c:formatCode>
                <c:ptCount val="120"/>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pt idx="15">
                  <c:v>Jan-28</c:v>
                </c:pt>
                <c:pt idx="16">
                  <c:v>Feb-28</c:v>
                </c:pt>
                <c:pt idx="17">
                  <c:v>Mar-28</c:v>
                </c:pt>
                <c:pt idx="18">
                  <c:v>Apr-28</c:v>
                </c:pt>
                <c:pt idx="19">
                  <c:v>May-28</c:v>
                </c:pt>
                <c:pt idx="20">
                  <c:v>Jun-28</c:v>
                </c:pt>
                <c:pt idx="21">
                  <c:v>Jul-28</c:v>
                </c:pt>
                <c:pt idx="22">
                  <c:v>Aug-28</c:v>
                </c:pt>
                <c:pt idx="23">
                  <c:v>Sep-28</c:v>
                </c:pt>
                <c:pt idx="24">
                  <c:v>Oct-28</c:v>
                </c:pt>
                <c:pt idx="25">
                  <c:v>Nov-28</c:v>
                </c:pt>
                <c:pt idx="26">
                  <c:v>Dec-28</c:v>
                </c:pt>
                <c:pt idx="27">
                  <c:v>Jan-29</c:v>
                </c:pt>
                <c:pt idx="28">
                  <c:v>Feb-29</c:v>
                </c:pt>
                <c:pt idx="29">
                  <c:v>Mar-29</c:v>
                </c:pt>
                <c:pt idx="30">
                  <c:v>Apr-29</c:v>
                </c:pt>
                <c:pt idx="31">
                  <c:v>May-29</c:v>
                </c:pt>
                <c:pt idx="32">
                  <c:v>Jun-29</c:v>
                </c:pt>
                <c:pt idx="33">
                  <c:v>Jul-29</c:v>
                </c:pt>
                <c:pt idx="34">
                  <c:v>Aug-29</c:v>
                </c:pt>
                <c:pt idx="35">
                  <c:v>Sep-29</c:v>
                </c:pt>
                <c:pt idx="36">
                  <c:v>Oct-29</c:v>
                </c:pt>
                <c:pt idx="37">
                  <c:v>Nov-29</c:v>
                </c:pt>
                <c:pt idx="38">
                  <c:v>Dec-29</c:v>
                </c:pt>
                <c:pt idx="39">
                  <c:v>Jan-30</c:v>
                </c:pt>
                <c:pt idx="40">
                  <c:v>Feb-30</c:v>
                </c:pt>
                <c:pt idx="41">
                  <c:v>Mar-30</c:v>
                </c:pt>
                <c:pt idx="42">
                  <c:v>Apr-30</c:v>
                </c:pt>
                <c:pt idx="43">
                  <c:v>May-30</c:v>
                </c:pt>
                <c:pt idx="44">
                  <c:v>Jun-30</c:v>
                </c:pt>
                <c:pt idx="45">
                  <c:v>Jul-30</c:v>
                </c:pt>
                <c:pt idx="46">
                  <c:v>Aug-30</c:v>
                </c:pt>
                <c:pt idx="47">
                  <c:v>Sep-30</c:v>
                </c:pt>
                <c:pt idx="48">
                  <c:v>Oct-30</c:v>
                </c:pt>
                <c:pt idx="49">
                  <c:v>Nov-30</c:v>
                </c:pt>
                <c:pt idx="50">
                  <c:v>Dec-30</c:v>
                </c:pt>
                <c:pt idx="51">
                  <c:v>Jan-31</c:v>
                </c:pt>
                <c:pt idx="52">
                  <c:v>Feb-31</c:v>
                </c:pt>
                <c:pt idx="53">
                  <c:v>Mar-31</c:v>
                </c:pt>
                <c:pt idx="54">
                  <c:v>Apr-31</c:v>
                </c:pt>
                <c:pt idx="55">
                  <c:v>May-31</c:v>
                </c:pt>
                <c:pt idx="56">
                  <c:v>Jun-31</c:v>
                </c:pt>
                <c:pt idx="57">
                  <c:v>Jul-31</c:v>
                </c:pt>
                <c:pt idx="58">
                  <c:v>Aug-31</c:v>
                </c:pt>
                <c:pt idx="59">
                  <c:v>Sep-31</c:v>
                </c:pt>
                <c:pt idx="60">
                  <c:v>Oct-31</c:v>
                </c:pt>
                <c:pt idx="61">
                  <c:v>Nov-31</c:v>
                </c:pt>
                <c:pt idx="62">
                  <c:v>Dec-31</c:v>
                </c:pt>
                <c:pt idx="63">
                  <c:v>Jan-32</c:v>
                </c:pt>
                <c:pt idx="64">
                  <c:v>Feb-32</c:v>
                </c:pt>
                <c:pt idx="65">
                  <c:v>Mar-32</c:v>
                </c:pt>
                <c:pt idx="66">
                  <c:v>Apr-32</c:v>
                </c:pt>
                <c:pt idx="67">
                  <c:v>May-32</c:v>
                </c:pt>
                <c:pt idx="68">
                  <c:v>Jun-32</c:v>
                </c:pt>
                <c:pt idx="69">
                  <c:v>Jul-32</c:v>
                </c:pt>
                <c:pt idx="70">
                  <c:v>Aug-32</c:v>
                </c:pt>
                <c:pt idx="71">
                  <c:v>Sep-32</c:v>
                </c:pt>
                <c:pt idx="72">
                  <c:v>Oct-32</c:v>
                </c:pt>
                <c:pt idx="73">
                  <c:v>Nov-32</c:v>
                </c:pt>
                <c:pt idx="74">
                  <c:v>Dec-32</c:v>
                </c:pt>
                <c:pt idx="75">
                  <c:v>Jan-33</c:v>
                </c:pt>
                <c:pt idx="76">
                  <c:v>Feb-33</c:v>
                </c:pt>
                <c:pt idx="77">
                  <c:v>Mar-33</c:v>
                </c:pt>
                <c:pt idx="78">
                  <c:v>Apr-33</c:v>
                </c:pt>
                <c:pt idx="79">
                  <c:v>May-33</c:v>
                </c:pt>
                <c:pt idx="80">
                  <c:v>Jun-33</c:v>
                </c:pt>
                <c:pt idx="81">
                  <c:v>Jul-33</c:v>
                </c:pt>
                <c:pt idx="82">
                  <c:v>Aug-33</c:v>
                </c:pt>
                <c:pt idx="83">
                  <c:v>Sep-33</c:v>
                </c:pt>
                <c:pt idx="84">
                  <c:v>Oct-33</c:v>
                </c:pt>
                <c:pt idx="85">
                  <c:v>Nov-33</c:v>
                </c:pt>
                <c:pt idx="86">
                  <c:v>Dec-33</c:v>
                </c:pt>
                <c:pt idx="87">
                  <c:v>Jan-34</c:v>
                </c:pt>
                <c:pt idx="88">
                  <c:v>Feb-34</c:v>
                </c:pt>
                <c:pt idx="89">
                  <c:v>Mar-34</c:v>
                </c:pt>
                <c:pt idx="90">
                  <c:v>Apr-34</c:v>
                </c:pt>
                <c:pt idx="91">
                  <c:v>May-34</c:v>
                </c:pt>
                <c:pt idx="92">
                  <c:v>Jun-34</c:v>
                </c:pt>
                <c:pt idx="93">
                  <c:v>Jul-34</c:v>
                </c:pt>
                <c:pt idx="94">
                  <c:v>Aug-34</c:v>
                </c:pt>
                <c:pt idx="95">
                  <c:v>Sep-34</c:v>
                </c:pt>
                <c:pt idx="96">
                  <c:v>Oct-34</c:v>
                </c:pt>
                <c:pt idx="97">
                  <c:v>Nov-34</c:v>
                </c:pt>
                <c:pt idx="98">
                  <c:v>Dec-34</c:v>
                </c:pt>
                <c:pt idx="99">
                  <c:v>Jan-35</c:v>
                </c:pt>
                <c:pt idx="100">
                  <c:v>Feb-35</c:v>
                </c:pt>
                <c:pt idx="101">
                  <c:v>Mar-35</c:v>
                </c:pt>
                <c:pt idx="102">
                  <c:v>Apr-35</c:v>
                </c:pt>
                <c:pt idx="103">
                  <c:v>May-35</c:v>
                </c:pt>
                <c:pt idx="104">
                  <c:v>Jun-35</c:v>
                </c:pt>
                <c:pt idx="105">
                  <c:v>Jul-35</c:v>
                </c:pt>
                <c:pt idx="106">
                  <c:v>Aug-35</c:v>
                </c:pt>
                <c:pt idx="107">
                  <c:v>Sep-35</c:v>
                </c:pt>
                <c:pt idx="108">
                  <c:v>Oct-35</c:v>
                </c:pt>
                <c:pt idx="109">
                  <c:v>Nov-35</c:v>
                </c:pt>
                <c:pt idx="110">
                  <c:v>Dec-35</c:v>
                </c:pt>
                <c:pt idx="111">
                  <c:v>Jan-36</c:v>
                </c:pt>
                <c:pt idx="112">
                  <c:v>Feb-36</c:v>
                </c:pt>
                <c:pt idx="113">
                  <c:v>Mar-36</c:v>
                </c:pt>
                <c:pt idx="114">
                  <c:v>Apr-36</c:v>
                </c:pt>
                <c:pt idx="115">
                  <c:v>May-36</c:v>
                </c:pt>
                <c:pt idx="116">
                  <c:v>Jun-36</c:v>
                </c:pt>
                <c:pt idx="117">
                  <c:v>Jul-36</c:v>
                </c:pt>
                <c:pt idx="118">
                  <c:v>Aug-36</c:v>
                </c:pt>
                <c:pt idx="119">
                  <c:v>Sep-36</c:v>
                </c:pt>
              </c:numCache>
            </c:numRef>
          </c:cat>
          <c:val>
            <c:numRef>
              <c:f>Scenarios!$G$21:$G$140</c:f>
              <c:numCache>
                <c:formatCode>0.0</c:formatCode>
                <c:ptCount val="120"/>
                <c:pt idx="0">
                  <c:v>166.218753808394</c:v>
                </c:pt>
                <c:pt idx="1">
                  <c:v>159.472215689</c:v>
                </c:pt>
                <c:pt idx="2">
                  <c:v>156.171917343099</c:v>
                </c:pt>
                <c:pt idx="3">
                  <c:v>155.391040940337</c:v>
                </c:pt>
                <c:pt idx="4">
                  <c:v>153.8764616635</c:v>
                </c:pt>
                <c:pt idx="5">
                  <c:v>151.872993850919</c:v>
                </c:pt>
                <c:pt idx="6">
                  <c:v>150.434425343499</c:v>
                </c:pt>
                <c:pt idx="7">
                  <c:v>149.300661274172</c:v>
                </c:pt>
                <c:pt idx="8">
                  <c:v>148.060101065392</c:v>
                </c:pt>
                <c:pt idx="9">
                  <c:v>146.827873487202</c:v>
                </c:pt>
                <c:pt idx="10">
                  <c:v>145.732640782161</c:v>
                </c:pt>
                <c:pt idx="11">
                  <c:v>144.702450611452</c:v>
                </c:pt>
                <c:pt idx="12">
                  <c:v>143.683582692247</c:v>
                </c:pt>
                <c:pt idx="13">
                  <c:v>142.700809271898</c:v>
                </c:pt>
                <c:pt idx="14">
                  <c:v>141.765579609152</c:v>
                </c:pt>
                <c:pt idx="15">
                  <c:v>140.861211248959</c:v>
                </c:pt>
                <c:pt idx="16">
                  <c:v>139.980016979836</c:v>
                </c:pt>
                <c:pt idx="17">
                  <c:v>139.125191534699</c:v>
                </c:pt>
                <c:pt idx="18">
                  <c:v>138.295907669977</c:v>
                </c:pt>
                <c:pt idx="19">
                  <c:v>137.487944707448</c:v>
                </c:pt>
                <c:pt idx="20">
                  <c:v>136.699396668008</c:v>
                </c:pt>
                <c:pt idx="21">
                  <c:v>135.9297889951</c:v>
                </c:pt>
                <c:pt idx="22">
                  <c:v>135.177865911816</c:v>
                </c:pt>
                <c:pt idx="23">
                  <c:v>134.442115202977</c:v>
                </c:pt>
                <c:pt idx="24">
                  <c:v>133.721553420984</c:v>
                </c:pt>
                <c:pt idx="25">
                  <c:v>133.015412995837</c:v>
                </c:pt>
                <c:pt idx="26">
                  <c:v>132.322840483005</c:v>
                </c:pt>
                <c:pt idx="27">
                  <c:v>131.643030724169</c:v>
                </c:pt>
                <c:pt idx="28">
                  <c:v>130.975316630277</c:v>
                </c:pt>
                <c:pt idx="29">
                  <c:v>130.319093879851</c:v>
                </c:pt>
                <c:pt idx="30">
                  <c:v>129.673781527348</c:v>
                </c:pt>
                <c:pt idx="31">
                  <c:v>129.038845933809</c:v>
                </c:pt>
                <c:pt idx="32">
                  <c:v>128.413805653106</c:v>
                </c:pt>
                <c:pt idx="33">
                  <c:v>127.798214343836</c:v>
                </c:pt>
                <c:pt idx="34">
                  <c:v>127.191654340705</c:v>
                </c:pt>
                <c:pt idx="35">
                  <c:v>126.593738667529</c:v>
                </c:pt>
                <c:pt idx="36">
                  <c:v>126.004108689017</c:v>
                </c:pt>
                <c:pt idx="37">
                  <c:v>125.422429436958</c:v>
                </c:pt>
                <c:pt idx="38">
                  <c:v>124.848387385093</c:v>
                </c:pt>
                <c:pt idx="39">
                  <c:v>124.281689326148</c:v>
                </c:pt>
                <c:pt idx="40">
                  <c:v>123.722060536823</c:v>
                </c:pt>
                <c:pt idx="41">
                  <c:v>123.169242892171</c:v>
                </c:pt>
                <c:pt idx="42">
                  <c:v>122.622993539741</c:v>
                </c:pt>
                <c:pt idx="43">
                  <c:v>122.083083776269</c:v>
                </c:pt>
                <c:pt idx="44">
                  <c:v>121.549297890512</c:v>
                </c:pt>
                <c:pt idx="45">
                  <c:v>121.021432111068</c:v>
                </c:pt>
                <c:pt idx="46">
                  <c:v>120.499293716982</c:v>
                </c:pt>
                <c:pt idx="47">
                  <c:v>119.982700231582</c:v>
                </c:pt>
                <c:pt idx="48">
                  <c:v>119.471478668135</c:v>
                </c:pt>
                <c:pt idx="49">
                  <c:v>118.965464847747</c:v>
                </c:pt>
                <c:pt idx="50">
                  <c:v>118.464502787644</c:v>
                </c:pt>
                <c:pt idx="51">
                  <c:v>117.96844414123</c:v>
                </c:pt>
                <c:pt idx="52">
                  <c:v>117.477147683137</c:v>
                </c:pt>
                <c:pt idx="53">
                  <c:v>116.990478839123</c:v>
                </c:pt>
                <c:pt idx="54">
                  <c:v>116.508309256316</c:v>
                </c:pt>
                <c:pt idx="55">
                  <c:v>116.030516407983</c:v>
                </c:pt>
                <c:pt idx="56">
                  <c:v>115.556983229591</c:v>
                </c:pt>
                <c:pt idx="57">
                  <c:v>115.087597783837</c:v>
                </c:pt>
                <c:pt idx="58">
                  <c:v>114.622252951775</c:v>
                </c:pt>
                <c:pt idx="59">
                  <c:v>114.160846147352</c:v>
                </c:pt>
                <c:pt idx="60">
                  <c:v>113.703279053279</c:v>
                </c:pt>
                <c:pt idx="61">
                  <c:v>113.249457376418</c:v>
                </c:pt>
                <c:pt idx="62">
                  <c:v>112.799290620913</c:v>
                </c:pt>
                <c:pt idx="63">
                  <c:v>112.352691877485</c:v>
                </c:pt>
                <c:pt idx="64">
                  <c:v>111.909577627523</c:v>
                </c:pt>
                <c:pt idx="65">
                  <c:v>111.469867560728</c:v>
                </c:pt>
                <c:pt idx="66">
                  <c:v>111.033484405182</c:v>
                </c:pt>
                <c:pt idx="67">
                  <c:v>110.600353768806</c:v>
                </c:pt>
                <c:pt idx="68">
                  <c:v>110.170403991304</c:v>
                </c:pt>
                <c:pt idx="69">
                  <c:v>109.743566005754</c:v>
                </c:pt>
                <c:pt idx="70">
                  <c:v>109.319773209081</c:v>
                </c:pt>
                <c:pt idx="71">
                  <c:v>108.898961340736</c:v>
                </c:pt>
                <c:pt idx="72">
                  <c:v>108.481068368949</c:v>
                </c:pt>
                <c:pt idx="73">
                  <c:v>108.066034383982</c:v>
                </c:pt>
                <c:pt idx="74">
                  <c:v>107.653801497868</c:v>
                </c:pt>
                <c:pt idx="75">
                  <c:v>107.244313750169</c:v>
                </c:pt>
                <c:pt idx="76">
                  <c:v>106.83751701929</c:v>
                </c:pt>
                <c:pt idx="77">
                  <c:v>106.433358938989</c:v>
                </c:pt>
                <c:pt idx="78">
                  <c:v>106.031788819689</c:v>
                </c:pt>
                <c:pt idx="79">
                  <c:v>105.632757574267</c:v>
                </c:pt>
                <c:pt idx="80">
                  <c:v>105.23621764802</c:v>
                </c:pt>
                <c:pt idx="81">
                  <c:v>104.842122952513</c:v>
                </c:pt>
                <c:pt idx="82">
                  <c:v>104.450428803055</c:v>
                </c:pt>
                <c:pt idx="83">
                  <c:v>104.061091859561</c:v>
                </c:pt>
                <c:pt idx="84">
                  <c:v>103.674070070582</c:v>
                </c:pt>
                <c:pt idx="85">
                  <c:v>103.289322620292</c:v>
                </c:pt>
                <c:pt idx="86">
                  <c:v>102.906809878248</c:v>
                </c:pt>
                <c:pt idx="87">
                  <c:v>102.526493351744</c:v>
                </c:pt>
                <c:pt idx="88">
                  <c:v>102.148335640607</c:v>
                </c:pt>
                <c:pt idx="89">
                  <c:v>101.772300394264</c:v>
                </c:pt>
                <c:pt idx="90">
                  <c:v>101.398352270965</c:v>
                </c:pt>
                <c:pt idx="91">
                  <c:v>101.026456899014</c:v>
                </c:pt>
                <c:pt idx="92">
                  <c:v>100.656580839901</c:v>
                </c:pt>
                <c:pt idx="93">
                  <c:v>100.288691553207</c:v>
                </c:pt>
                <c:pt idx="94">
                  <c:v>99.9227573631969</c:v>
                </c:pt>
                <c:pt idx="95">
                  <c:v>99.5587474269875</c:v>
                </c:pt>
                <c:pt idx="96">
                  <c:v>99.1966317042107</c:v>
                </c:pt>
                <c:pt idx="97">
                  <c:v>98.8363809280795</c:v>
                </c:pt>
                <c:pt idx="98">
                  <c:v>98.4779665777834</c:v>
                </c:pt>
                <c:pt idx="99">
                  <c:v>98.1213608521365</c:v>
                </c:pt>
                <c:pt idx="100">
                  <c:v>97.7665366444118</c:v>
                </c:pt>
                <c:pt idx="101">
                  <c:v>97.4134675182941</c:v>
                </c:pt>
                <c:pt idx="102">
                  <c:v>97.062127684895</c:v>
                </c:pt>
                <c:pt idx="103">
                  <c:v>96.7124919807694</c:v>
                </c:pt>
                <c:pt idx="104">
                  <c:v>96.3645358468839</c:v>
                </c:pt>
                <c:pt idx="105">
                  <c:v>96.018235308485</c:v>
                </c:pt>
                <c:pt idx="106">
                  <c:v>95.6735669558217</c:v>
                </c:pt>
                <c:pt idx="107">
                  <c:v>95.3305079256784</c:v>
                </c:pt>
                <c:pt idx="108">
                  <c:v>94.9890358836761</c:v>
                </c:pt>
                <c:pt idx="109">
                  <c:v>94.6491290073041</c:v>
                </c:pt>
                <c:pt idx="110">
                  <c:v>94.3107659696457</c:v>
                </c:pt>
                <c:pt idx="111">
                  <c:v>93.9739259237623</c:v>
                </c:pt>
                <c:pt idx="112">
                  <c:v>93.6385884877055</c:v>
                </c:pt>
                <c:pt idx="113">
                  <c:v>93.3047337301249</c:v>
                </c:pt>
                <c:pt idx="114">
                  <c:v>92.9723421564438</c:v>
                </c:pt>
                <c:pt idx="115">
                  <c:v>92.6413946955757</c:v>
                </c:pt>
                <c:pt idx="116">
                  <c:v>92.3118726871554</c:v>
                </c:pt>
                <c:pt idx="117">
                  <c:v>91.9837578692612</c:v>
                </c:pt>
                <c:pt idx="118">
                  <c:v>91.6570323666047</c:v>
                </c:pt>
                <c:pt idx="119">
                  <c:v>91.3316786791674</c:v>
                </c:pt>
              </c:numCache>
            </c:numRef>
          </c:val>
          <c:smooth val="0"/>
        </c:ser>
        <c:ser>
          <c:idx val="5"/>
          <c:order val="5"/>
          <c:tx>
            <c:strRef>
              <c:f>Scenarios!$H$20</c:f>
              <c:strCache>
                <c:ptCount val="1"/>
                <c:pt idx="0">
                  <c:v>ARIMA 80%
high</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Scenarios!$A$21:$A$140</c:f>
              <c:numCache>
                <c:formatCode>mmm\-yy</c:formatCode>
                <c:ptCount val="120"/>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pt idx="15">
                  <c:v>Jan-28</c:v>
                </c:pt>
                <c:pt idx="16">
                  <c:v>Feb-28</c:v>
                </c:pt>
                <c:pt idx="17">
                  <c:v>Mar-28</c:v>
                </c:pt>
                <c:pt idx="18">
                  <c:v>Apr-28</c:v>
                </c:pt>
                <c:pt idx="19">
                  <c:v>May-28</c:v>
                </c:pt>
                <c:pt idx="20">
                  <c:v>Jun-28</c:v>
                </c:pt>
                <c:pt idx="21">
                  <c:v>Jul-28</c:v>
                </c:pt>
                <c:pt idx="22">
                  <c:v>Aug-28</c:v>
                </c:pt>
                <c:pt idx="23">
                  <c:v>Sep-28</c:v>
                </c:pt>
                <c:pt idx="24">
                  <c:v>Oct-28</c:v>
                </c:pt>
                <c:pt idx="25">
                  <c:v>Nov-28</c:v>
                </c:pt>
                <c:pt idx="26">
                  <c:v>Dec-28</c:v>
                </c:pt>
                <c:pt idx="27">
                  <c:v>Jan-29</c:v>
                </c:pt>
                <c:pt idx="28">
                  <c:v>Feb-29</c:v>
                </c:pt>
                <c:pt idx="29">
                  <c:v>Mar-29</c:v>
                </c:pt>
                <c:pt idx="30">
                  <c:v>Apr-29</c:v>
                </c:pt>
                <c:pt idx="31">
                  <c:v>May-29</c:v>
                </c:pt>
                <c:pt idx="32">
                  <c:v>Jun-29</c:v>
                </c:pt>
                <c:pt idx="33">
                  <c:v>Jul-29</c:v>
                </c:pt>
                <c:pt idx="34">
                  <c:v>Aug-29</c:v>
                </c:pt>
                <c:pt idx="35">
                  <c:v>Sep-29</c:v>
                </c:pt>
                <c:pt idx="36">
                  <c:v>Oct-29</c:v>
                </c:pt>
                <c:pt idx="37">
                  <c:v>Nov-29</c:v>
                </c:pt>
                <c:pt idx="38">
                  <c:v>Dec-29</c:v>
                </c:pt>
                <c:pt idx="39">
                  <c:v>Jan-30</c:v>
                </c:pt>
                <c:pt idx="40">
                  <c:v>Feb-30</c:v>
                </c:pt>
                <c:pt idx="41">
                  <c:v>Mar-30</c:v>
                </c:pt>
                <c:pt idx="42">
                  <c:v>Apr-30</c:v>
                </c:pt>
                <c:pt idx="43">
                  <c:v>May-30</c:v>
                </c:pt>
                <c:pt idx="44">
                  <c:v>Jun-30</c:v>
                </c:pt>
                <c:pt idx="45">
                  <c:v>Jul-30</c:v>
                </c:pt>
                <c:pt idx="46">
                  <c:v>Aug-30</c:v>
                </c:pt>
                <c:pt idx="47">
                  <c:v>Sep-30</c:v>
                </c:pt>
                <c:pt idx="48">
                  <c:v>Oct-30</c:v>
                </c:pt>
                <c:pt idx="49">
                  <c:v>Nov-30</c:v>
                </c:pt>
                <c:pt idx="50">
                  <c:v>Dec-30</c:v>
                </c:pt>
                <c:pt idx="51">
                  <c:v>Jan-31</c:v>
                </c:pt>
                <c:pt idx="52">
                  <c:v>Feb-31</c:v>
                </c:pt>
                <c:pt idx="53">
                  <c:v>Mar-31</c:v>
                </c:pt>
                <c:pt idx="54">
                  <c:v>Apr-31</c:v>
                </c:pt>
                <c:pt idx="55">
                  <c:v>May-31</c:v>
                </c:pt>
                <c:pt idx="56">
                  <c:v>Jun-31</c:v>
                </c:pt>
                <c:pt idx="57">
                  <c:v>Jul-31</c:v>
                </c:pt>
                <c:pt idx="58">
                  <c:v>Aug-31</c:v>
                </c:pt>
                <c:pt idx="59">
                  <c:v>Sep-31</c:v>
                </c:pt>
                <c:pt idx="60">
                  <c:v>Oct-31</c:v>
                </c:pt>
                <c:pt idx="61">
                  <c:v>Nov-31</c:v>
                </c:pt>
                <c:pt idx="62">
                  <c:v>Dec-31</c:v>
                </c:pt>
                <c:pt idx="63">
                  <c:v>Jan-32</c:v>
                </c:pt>
                <c:pt idx="64">
                  <c:v>Feb-32</c:v>
                </c:pt>
                <c:pt idx="65">
                  <c:v>Mar-32</c:v>
                </c:pt>
                <c:pt idx="66">
                  <c:v>Apr-32</c:v>
                </c:pt>
                <c:pt idx="67">
                  <c:v>May-32</c:v>
                </c:pt>
                <c:pt idx="68">
                  <c:v>Jun-32</c:v>
                </c:pt>
                <c:pt idx="69">
                  <c:v>Jul-32</c:v>
                </c:pt>
                <c:pt idx="70">
                  <c:v>Aug-32</c:v>
                </c:pt>
                <c:pt idx="71">
                  <c:v>Sep-32</c:v>
                </c:pt>
                <c:pt idx="72">
                  <c:v>Oct-32</c:v>
                </c:pt>
                <c:pt idx="73">
                  <c:v>Nov-32</c:v>
                </c:pt>
                <c:pt idx="74">
                  <c:v>Dec-32</c:v>
                </c:pt>
                <c:pt idx="75">
                  <c:v>Jan-33</c:v>
                </c:pt>
                <c:pt idx="76">
                  <c:v>Feb-33</c:v>
                </c:pt>
                <c:pt idx="77">
                  <c:v>Mar-33</c:v>
                </c:pt>
                <c:pt idx="78">
                  <c:v>Apr-33</c:v>
                </c:pt>
                <c:pt idx="79">
                  <c:v>May-33</c:v>
                </c:pt>
                <c:pt idx="80">
                  <c:v>Jun-33</c:v>
                </c:pt>
                <c:pt idx="81">
                  <c:v>Jul-33</c:v>
                </c:pt>
                <c:pt idx="82">
                  <c:v>Aug-33</c:v>
                </c:pt>
                <c:pt idx="83">
                  <c:v>Sep-33</c:v>
                </c:pt>
                <c:pt idx="84">
                  <c:v>Oct-33</c:v>
                </c:pt>
                <c:pt idx="85">
                  <c:v>Nov-33</c:v>
                </c:pt>
                <c:pt idx="86">
                  <c:v>Dec-33</c:v>
                </c:pt>
                <c:pt idx="87">
                  <c:v>Jan-34</c:v>
                </c:pt>
                <c:pt idx="88">
                  <c:v>Feb-34</c:v>
                </c:pt>
                <c:pt idx="89">
                  <c:v>Mar-34</c:v>
                </c:pt>
                <c:pt idx="90">
                  <c:v>Apr-34</c:v>
                </c:pt>
                <c:pt idx="91">
                  <c:v>May-34</c:v>
                </c:pt>
                <c:pt idx="92">
                  <c:v>Jun-34</c:v>
                </c:pt>
                <c:pt idx="93">
                  <c:v>Jul-34</c:v>
                </c:pt>
                <c:pt idx="94">
                  <c:v>Aug-34</c:v>
                </c:pt>
                <c:pt idx="95">
                  <c:v>Sep-34</c:v>
                </c:pt>
                <c:pt idx="96">
                  <c:v>Oct-34</c:v>
                </c:pt>
                <c:pt idx="97">
                  <c:v>Nov-34</c:v>
                </c:pt>
                <c:pt idx="98">
                  <c:v>Dec-34</c:v>
                </c:pt>
                <c:pt idx="99">
                  <c:v>Jan-35</c:v>
                </c:pt>
                <c:pt idx="100">
                  <c:v>Feb-35</c:v>
                </c:pt>
                <c:pt idx="101">
                  <c:v>Mar-35</c:v>
                </c:pt>
                <c:pt idx="102">
                  <c:v>Apr-35</c:v>
                </c:pt>
                <c:pt idx="103">
                  <c:v>May-35</c:v>
                </c:pt>
                <c:pt idx="104">
                  <c:v>Jun-35</c:v>
                </c:pt>
                <c:pt idx="105">
                  <c:v>Jul-35</c:v>
                </c:pt>
                <c:pt idx="106">
                  <c:v>Aug-35</c:v>
                </c:pt>
                <c:pt idx="107">
                  <c:v>Sep-35</c:v>
                </c:pt>
                <c:pt idx="108">
                  <c:v>Oct-35</c:v>
                </c:pt>
                <c:pt idx="109">
                  <c:v>Nov-35</c:v>
                </c:pt>
                <c:pt idx="110">
                  <c:v>Dec-35</c:v>
                </c:pt>
                <c:pt idx="111">
                  <c:v>Jan-36</c:v>
                </c:pt>
                <c:pt idx="112">
                  <c:v>Feb-36</c:v>
                </c:pt>
                <c:pt idx="113">
                  <c:v>Mar-36</c:v>
                </c:pt>
                <c:pt idx="114">
                  <c:v>Apr-36</c:v>
                </c:pt>
                <c:pt idx="115">
                  <c:v>May-36</c:v>
                </c:pt>
                <c:pt idx="116">
                  <c:v>Jun-36</c:v>
                </c:pt>
                <c:pt idx="117">
                  <c:v>Jul-36</c:v>
                </c:pt>
                <c:pt idx="118">
                  <c:v>Aug-36</c:v>
                </c:pt>
                <c:pt idx="119">
                  <c:v>Sep-36</c:v>
                </c:pt>
              </c:numCache>
            </c:numRef>
          </c:cat>
          <c:val>
            <c:numRef>
              <c:f>Scenarios!$H$21:$H$140</c:f>
              <c:numCache>
                <c:formatCode>0.0</c:formatCode>
                <c:ptCount val="120"/>
                <c:pt idx="0">
                  <c:v>175.852224351084</c:v>
                </c:pt>
                <c:pt idx="1">
                  <c:v>178.171170020435</c:v>
                </c:pt>
                <c:pt idx="2">
                  <c:v>180.689091464186</c:v>
                </c:pt>
                <c:pt idx="3">
                  <c:v>183.301917357043</c:v>
                </c:pt>
                <c:pt idx="4">
                  <c:v>184.947449897845</c:v>
                </c:pt>
                <c:pt idx="5">
                  <c:v>186.211794327632</c:v>
                </c:pt>
                <c:pt idx="6">
                  <c:v>187.670758536116</c:v>
                </c:pt>
                <c:pt idx="7">
                  <c:v>189.095566612141</c:v>
                </c:pt>
                <c:pt idx="8">
                  <c:v>190.299565294893</c:v>
                </c:pt>
                <c:pt idx="9">
                  <c:v>191.419980073856</c:v>
                </c:pt>
                <c:pt idx="10">
                  <c:v>192.540647868574</c:v>
                </c:pt>
                <c:pt idx="11">
                  <c:v>193.6126798179</c:v>
                </c:pt>
                <c:pt idx="12">
                  <c:v>194.617369782938</c:v>
                </c:pt>
                <c:pt idx="13">
                  <c:v>195.584941383846</c:v>
                </c:pt>
                <c:pt idx="14">
                  <c:v>196.527279486342</c:v>
                </c:pt>
                <c:pt idx="15">
                  <c:v>197.436979418305</c:v>
                </c:pt>
                <c:pt idx="16">
                  <c:v>198.314833779475</c:v>
                </c:pt>
                <c:pt idx="17">
                  <c:v>199.167872192889</c:v>
                </c:pt>
                <c:pt idx="18">
                  <c:v>199.99865506771</c:v>
                </c:pt>
                <c:pt idx="19">
                  <c:v>200.807179872205</c:v>
                </c:pt>
                <c:pt idx="20">
                  <c:v>201.595078630964</c:v>
                </c:pt>
                <c:pt idx="21">
                  <c:v>202.364527075511</c:v>
                </c:pt>
                <c:pt idx="22">
                  <c:v>203.116723157078</c:v>
                </c:pt>
                <c:pt idx="23">
                  <c:v>203.852510285323</c:v>
                </c:pt>
                <c:pt idx="24">
                  <c:v>204.572960268752</c:v>
                </c:pt>
                <c:pt idx="25">
                  <c:v>205.279097192921</c:v>
                </c:pt>
                <c:pt idx="26">
                  <c:v>205.971714372945</c:v>
                </c:pt>
                <c:pt idx="27">
                  <c:v>206.651521149646</c:v>
                </c:pt>
                <c:pt idx="28">
                  <c:v>207.31921782615</c:v>
                </c:pt>
                <c:pt idx="29">
                  <c:v>207.975443462988</c:v>
                </c:pt>
                <c:pt idx="30">
                  <c:v>208.620762438544</c:v>
                </c:pt>
                <c:pt idx="31">
                  <c:v>209.255696239721</c:v>
                </c:pt>
                <c:pt idx="32">
                  <c:v>209.880734069951</c:v>
                </c:pt>
                <c:pt idx="33">
                  <c:v>210.496326329587</c:v>
                </c:pt>
                <c:pt idx="34">
                  <c:v>211.102887211273</c:v>
                </c:pt>
                <c:pt idx="35">
                  <c:v>211.700802421701</c:v>
                </c:pt>
                <c:pt idx="36">
                  <c:v>212.290432097168</c:v>
                </c:pt>
                <c:pt idx="37">
                  <c:v>212.872111562341</c:v>
                </c:pt>
                <c:pt idx="38">
                  <c:v>213.446153713503</c:v>
                </c:pt>
                <c:pt idx="39">
                  <c:v>214.01285167824</c:v>
                </c:pt>
                <c:pt idx="40">
                  <c:v>214.572480437415</c:v>
                </c:pt>
                <c:pt idx="41">
                  <c:v>215.125298122367</c:v>
                </c:pt>
                <c:pt idx="42">
                  <c:v>215.671547482808</c:v>
                </c:pt>
                <c:pt idx="43">
                  <c:v>216.211457229518</c:v>
                </c:pt>
                <c:pt idx="44">
                  <c:v>216.745243113739</c:v>
                </c:pt>
                <c:pt idx="45">
                  <c:v>217.273108899979</c:v>
                </c:pt>
                <c:pt idx="46">
                  <c:v>217.795247294009</c:v>
                </c:pt>
                <c:pt idx="47">
                  <c:v>218.31184077672</c:v>
                </c:pt>
                <c:pt idx="48">
                  <c:v>218.823062340452</c:v>
                </c:pt>
                <c:pt idx="49">
                  <c:v>219.329076161879</c:v>
                </c:pt>
                <c:pt idx="50">
                  <c:v>219.830038221767</c:v>
                </c:pt>
                <c:pt idx="51">
                  <c:v>220.32609686779</c:v>
                </c:pt>
                <c:pt idx="52">
                  <c:v>220.817393326006</c:v>
                </c:pt>
                <c:pt idx="53">
                  <c:v>221.304062170163</c:v>
                </c:pt>
                <c:pt idx="54">
                  <c:v>221.786231752907</c:v>
                </c:pt>
                <c:pt idx="55">
                  <c:v>222.26402460119</c:v>
                </c:pt>
                <c:pt idx="56">
                  <c:v>222.737557779611</c:v>
                </c:pt>
                <c:pt idx="57">
                  <c:v>223.206943225383</c:v>
                </c:pt>
                <c:pt idx="58">
                  <c:v>223.672288057432</c:v>
                </c:pt>
                <c:pt idx="59">
                  <c:v>224.133694861849</c:v>
                </c:pt>
                <c:pt idx="60">
                  <c:v>224.591261955928</c:v>
                </c:pt>
                <c:pt idx="61">
                  <c:v>225.04508363279</c:v>
                </c:pt>
                <c:pt idx="62">
                  <c:v>225.495250388293</c:v>
                </c:pt>
                <c:pt idx="63">
                  <c:v>225.941849131721</c:v>
                </c:pt>
                <c:pt idx="64">
                  <c:v>226.384963381684</c:v>
                </c:pt>
                <c:pt idx="65">
                  <c:v>226.824673448478</c:v>
                </c:pt>
                <c:pt idx="66">
                  <c:v>227.261056604024</c:v>
                </c:pt>
                <c:pt idx="67">
                  <c:v>227.6941872404</c:v>
                </c:pt>
                <c:pt idx="68">
                  <c:v>228.124137017902</c:v>
                </c:pt>
                <c:pt idx="69">
                  <c:v>228.550975003453</c:v>
                </c:pt>
                <c:pt idx="70">
                  <c:v>228.974767800126</c:v>
                </c:pt>
                <c:pt idx="71">
                  <c:v>229.39557966847</c:v>
                </c:pt>
                <c:pt idx="72">
                  <c:v>229.813472640257</c:v>
                </c:pt>
                <c:pt idx="73">
                  <c:v>230.228506625225</c:v>
                </c:pt>
                <c:pt idx="74">
                  <c:v>230.640739511338</c:v>
                </c:pt>
                <c:pt idx="75">
                  <c:v>231.050227259038</c:v>
                </c:pt>
                <c:pt idx="76">
                  <c:v>231.457023989916</c:v>
                </c:pt>
                <c:pt idx="77">
                  <c:v>231.861182070217</c:v>
                </c:pt>
                <c:pt idx="78">
                  <c:v>232.262752189517</c:v>
                </c:pt>
                <c:pt idx="79">
                  <c:v>232.66178343494</c:v>
                </c:pt>
                <c:pt idx="80">
                  <c:v>233.058323361187</c:v>
                </c:pt>
                <c:pt idx="81">
                  <c:v>233.452418056694</c:v>
                </c:pt>
                <c:pt idx="82">
                  <c:v>233.844112206152</c:v>
                </c:pt>
                <c:pt idx="83">
                  <c:v>234.233449149645</c:v>
                </c:pt>
                <c:pt idx="84">
                  <c:v>234.620470938624</c:v>
                </c:pt>
                <c:pt idx="85">
                  <c:v>235.005218388914</c:v>
                </c:pt>
                <c:pt idx="86">
                  <c:v>235.387731130959</c:v>
                </c:pt>
                <c:pt idx="87">
                  <c:v>235.768047657462</c:v>
                </c:pt>
                <c:pt idx="88">
                  <c:v>236.146205368599</c:v>
                </c:pt>
                <c:pt idx="89">
                  <c:v>236.522240614942</c:v>
                </c:pt>
                <c:pt idx="90">
                  <c:v>236.896188738242</c:v>
                </c:pt>
                <c:pt idx="91">
                  <c:v>237.268084110192</c:v>
                </c:pt>
                <c:pt idx="92">
                  <c:v>237.637960169305</c:v>
                </c:pt>
                <c:pt idx="93">
                  <c:v>238.005849455999</c:v>
                </c:pt>
                <c:pt idx="94">
                  <c:v>238.371783646009</c:v>
                </c:pt>
                <c:pt idx="95">
                  <c:v>238.735793582219</c:v>
                </c:pt>
                <c:pt idx="96">
                  <c:v>239.097909304996</c:v>
                </c:pt>
                <c:pt idx="97">
                  <c:v>239.458160081127</c:v>
                </c:pt>
                <c:pt idx="98">
                  <c:v>239.816574431423</c:v>
                </c:pt>
                <c:pt idx="99">
                  <c:v>240.17318015707</c:v>
                </c:pt>
                <c:pt idx="100">
                  <c:v>240.528004364795</c:v>
                </c:pt>
                <c:pt idx="101">
                  <c:v>240.881073490912</c:v>
                </c:pt>
                <c:pt idx="102">
                  <c:v>241.232413324311</c:v>
                </c:pt>
                <c:pt idx="103">
                  <c:v>241.582049028437</c:v>
                </c:pt>
                <c:pt idx="104">
                  <c:v>241.930005162322</c:v>
                </c:pt>
                <c:pt idx="105">
                  <c:v>242.276305700721</c:v>
                </c:pt>
                <c:pt idx="106">
                  <c:v>242.620974053385</c:v>
                </c:pt>
                <c:pt idx="107">
                  <c:v>242.964033083528</c:v>
                </c:pt>
                <c:pt idx="108">
                  <c:v>243.30550512553</c:v>
                </c:pt>
                <c:pt idx="109">
                  <c:v>243.645412001902</c:v>
                </c:pt>
                <c:pt idx="110">
                  <c:v>243.983775039561</c:v>
                </c:pt>
                <c:pt idx="111">
                  <c:v>244.320615085444</c:v>
                </c:pt>
                <c:pt idx="112">
                  <c:v>244.655952521501</c:v>
                </c:pt>
                <c:pt idx="113">
                  <c:v>244.989807279081</c:v>
                </c:pt>
                <c:pt idx="114">
                  <c:v>245.322198852763</c:v>
                </c:pt>
                <c:pt idx="115">
                  <c:v>245.653146313631</c:v>
                </c:pt>
                <c:pt idx="116">
                  <c:v>245.982668322051</c:v>
                </c:pt>
                <c:pt idx="117">
                  <c:v>246.310783139945</c:v>
                </c:pt>
                <c:pt idx="118">
                  <c:v>246.637508642602</c:v>
                </c:pt>
                <c:pt idx="119">
                  <c:v>246.962862330039</c:v>
                </c:pt>
              </c:numCache>
            </c:numRef>
          </c:val>
          <c:smooth val="0"/>
        </c:ser>
        <c:hiLowLines>
          <c:spPr>
            <a:ln w="0">
              <a:noFill/>
            </a:ln>
          </c:spPr>
        </c:hiLowLines>
        <c:marker val="0"/>
        <c:axId val="16350326"/>
        <c:axId val="58240875"/>
      </c:lineChart>
      <c:dateAx>
        <c:axId val="16350326"/>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240875"/>
        <c:crosses val="autoZero"/>
        <c:auto val="1"/>
        <c:lblOffset val="100"/>
        <c:baseTimeUnit val="months"/>
        <c:noMultiLvlLbl val="0"/>
      </c:dateAx>
      <c:valAx>
        <c:axId val="58240875"/>
        <c:scaling>
          <c:orientation val="minMax"/>
        </c:scaling>
        <c:delete val="0"/>
        <c:axPos val="l"/>
        <c:majorGridlines>
          <c:spPr>
            <a:ln w="9360">
              <a:solidFill>
                <a:srgbClr val="878787"/>
              </a:solidFill>
              <a:round/>
            </a:ln>
          </c:spPr>
        </c:majorGridlines>
        <c:title>
          <c:tx>
            <c:rich>
              <a:bodyPr rot="-5400000"/>
              <a:lstStyle/>
              <a:p>
                <a:pPr>
                  <a:defRPr b="1" lang="en-GB" sz="1000" spc="-1" strike="noStrike">
                    <a:solidFill>
                      <a:srgbClr val="000000"/>
                    </a:solidFill>
                    <a:latin typeface="Calibri"/>
                  </a:defRPr>
                </a:pPr>
                <a:r>
                  <a:rPr b="1" lang="en-GB" sz="1000" spc="-1" strike="noStrike">
                    <a:solidFill>
                      <a:srgbClr val="000000"/>
                    </a:solidFill>
                    <a:latin typeface="Calibri"/>
                  </a:rPr>
                  <a:t>Pence per litre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3503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GB" sz="1800" spc="-1" strike="noStrike">
                <a:solidFill>
                  <a:srgbClr val="000000"/>
                </a:solidFill>
                <a:latin typeface="Calibri"/>
              </a:defRPr>
            </a:pPr>
            <a:r>
              <a:rPr b="1" lang="en-GB" sz="1800" spc="-1" strike="noStrike">
                <a:solidFill>
                  <a:srgbClr val="000000"/>
                </a:solidFill>
                <a:latin typeface="Calibri"/>
              </a:rPr>
              <a:t>UK weekly pump prices (p/litre), 2018 to Sep 2026</a:t>
            </a:r>
          </a:p>
        </c:rich>
      </c:tx>
      <c:overlay val="0"/>
      <c:spPr>
        <a:noFill/>
        <a:ln w="0">
          <a:noFill/>
        </a:ln>
      </c:spPr>
    </c:title>
    <c:autoTitleDeleted val="0"/>
    <c:plotArea>
      <c:lineChart>
        <c:grouping val="standard"/>
        <c:varyColors val="0"/>
        <c:ser>
          <c:idx val="0"/>
          <c:order val="0"/>
          <c:tx>
            <c:strRef>
              <c:f>Weekly_Data!$B$1</c:f>
              <c:strCache>
                <c:ptCount val="1"/>
                <c:pt idx="0">
                  <c:v>Petrol (ULSP) pump price
(p/litre)</c:v>
                </c:pt>
              </c:strCache>
            </c:strRef>
          </c:tx>
          <c:spPr>
            <a:solidFill>
              <a:srgbClr val="4a7ebb"/>
            </a:solidFill>
            <a:ln w="1512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Weekly_Data!$A$2:$A$458</c:f>
              <c:numCache>
                <c:formatCode>mmm\-yy</c:formatCode>
                <c:ptCount val="457"/>
                <c:pt idx="0">
                  <c:v>1/1/2018</c:v>
                </c:pt>
                <c:pt idx="1">
                  <c:v>1/8/2018</c:v>
                </c:pt>
                <c:pt idx="2">
                  <c:v>1/15/2018</c:v>
                </c:pt>
                <c:pt idx="3">
                  <c:v>1/22/2018</c:v>
                </c:pt>
                <c:pt idx="4">
                  <c:v>1/29/2018</c:v>
                </c:pt>
                <c:pt idx="5">
                  <c:v>2/5/2018</c:v>
                </c:pt>
                <c:pt idx="6">
                  <c:v>2/12/2018</c:v>
                </c:pt>
                <c:pt idx="7">
                  <c:v>2/19/2018</c:v>
                </c:pt>
                <c:pt idx="8">
                  <c:v>2/26/2018</c:v>
                </c:pt>
                <c:pt idx="9">
                  <c:v>3/5/2018</c:v>
                </c:pt>
                <c:pt idx="10">
                  <c:v>3/12/2018</c:v>
                </c:pt>
                <c:pt idx="11">
                  <c:v>3/19/2018</c:v>
                </c:pt>
                <c:pt idx="12">
                  <c:v>3/26/2018</c:v>
                </c:pt>
                <c:pt idx="13">
                  <c:v>4/2/2018</c:v>
                </c:pt>
                <c:pt idx="14">
                  <c:v>4/9/2018</c:v>
                </c:pt>
                <c:pt idx="15">
                  <c:v>4/16/2018</c:v>
                </c:pt>
                <c:pt idx="16">
                  <c:v>4/23/2018</c:v>
                </c:pt>
                <c:pt idx="17">
                  <c:v>4/30/2018</c:v>
                </c:pt>
                <c:pt idx="18">
                  <c:v>5/7/2018</c:v>
                </c:pt>
                <c:pt idx="19">
                  <c:v>5/14/2018</c:v>
                </c:pt>
                <c:pt idx="20">
                  <c:v>5/21/2018</c:v>
                </c:pt>
                <c:pt idx="21">
                  <c:v>5/28/2018</c:v>
                </c:pt>
                <c:pt idx="22">
                  <c:v>6/4/2018</c:v>
                </c:pt>
                <c:pt idx="23">
                  <c:v>6/11/2018</c:v>
                </c:pt>
                <c:pt idx="24">
                  <c:v>6/18/2018</c:v>
                </c:pt>
                <c:pt idx="25">
                  <c:v>6/25/2018</c:v>
                </c:pt>
                <c:pt idx="26">
                  <c:v>7/2/2018</c:v>
                </c:pt>
                <c:pt idx="27">
                  <c:v>7/9/2018</c:v>
                </c:pt>
                <c:pt idx="28">
                  <c:v>7/16/2018</c:v>
                </c:pt>
                <c:pt idx="29">
                  <c:v>7/23/2018</c:v>
                </c:pt>
                <c:pt idx="30">
                  <c:v>7/30/2018</c:v>
                </c:pt>
                <c:pt idx="31">
                  <c:v>8/6/2018</c:v>
                </c:pt>
                <c:pt idx="32">
                  <c:v>8/13/2018</c:v>
                </c:pt>
                <c:pt idx="33">
                  <c:v>8/20/2018</c:v>
                </c:pt>
                <c:pt idx="34">
                  <c:v>8/27/2018</c:v>
                </c:pt>
                <c:pt idx="35">
                  <c:v>9/3/2018</c:v>
                </c:pt>
                <c:pt idx="36">
                  <c:v>9/10/2018</c:v>
                </c:pt>
                <c:pt idx="37">
                  <c:v>9/17/2018</c:v>
                </c:pt>
                <c:pt idx="38">
                  <c:v>9/24/2018</c:v>
                </c:pt>
                <c:pt idx="39">
                  <c:v>10/1/2018</c:v>
                </c:pt>
                <c:pt idx="40">
                  <c:v>10/8/2018</c:v>
                </c:pt>
                <c:pt idx="41">
                  <c:v>10/15/2018</c:v>
                </c:pt>
                <c:pt idx="42">
                  <c:v>10/22/2018</c:v>
                </c:pt>
                <c:pt idx="43">
                  <c:v>10/29/2018</c:v>
                </c:pt>
                <c:pt idx="44">
                  <c:v>11/5/2018</c:v>
                </c:pt>
                <c:pt idx="45">
                  <c:v>11/12/2018</c:v>
                </c:pt>
                <c:pt idx="46">
                  <c:v>11/19/2018</c:v>
                </c:pt>
                <c:pt idx="47">
                  <c:v>11/26/2018</c:v>
                </c:pt>
                <c:pt idx="48">
                  <c:v>12/3/2018</c:v>
                </c:pt>
                <c:pt idx="49">
                  <c:v>12/10/2018</c:v>
                </c:pt>
                <c:pt idx="50">
                  <c:v>12/17/2018</c:v>
                </c:pt>
                <c:pt idx="51">
                  <c:v>12/24/2018</c:v>
                </c:pt>
                <c:pt idx="52">
                  <c:v>12/31/2018</c:v>
                </c:pt>
                <c:pt idx="53">
                  <c:v>1/7/2019</c:v>
                </c:pt>
                <c:pt idx="54">
                  <c:v>1/14/2019</c:v>
                </c:pt>
                <c:pt idx="55">
                  <c:v>1/21/2019</c:v>
                </c:pt>
                <c:pt idx="56">
                  <c:v>1/28/2019</c:v>
                </c:pt>
                <c:pt idx="57">
                  <c:v>2/4/2019</c:v>
                </c:pt>
                <c:pt idx="58">
                  <c:v>2/11/2019</c:v>
                </c:pt>
                <c:pt idx="59">
                  <c:v>2/18/2019</c:v>
                </c:pt>
                <c:pt idx="60">
                  <c:v>2/25/2019</c:v>
                </c:pt>
                <c:pt idx="61">
                  <c:v>3/4/2019</c:v>
                </c:pt>
                <c:pt idx="62">
                  <c:v>3/11/2019</c:v>
                </c:pt>
                <c:pt idx="63">
                  <c:v>3/18/2019</c:v>
                </c:pt>
                <c:pt idx="64">
                  <c:v>3/25/2019</c:v>
                </c:pt>
                <c:pt idx="65">
                  <c:v>4/1/2019</c:v>
                </c:pt>
                <c:pt idx="66">
                  <c:v>4/8/2019</c:v>
                </c:pt>
                <c:pt idx="67">
                  <c:v>4/15/2019</c:v>
                </c:pt>
                <c:pt idx="68">
                  <c:v>4/22/2019</c:v>
                </c:pt>
                <c:pt idx="69">
                  <c:v>4/29/2019</c:v>
                </c:pt>
                <c:pt idx="70">
                  <c:v>5/6/2019</c:v>
                </c:pt>
                <c:pt idx="71">
                  <c:v>5/13/2019</c:v>
                </c:pt>
                <c:pt idx="72">
                  <c:v>5/20/2019</c:v>
                </c:pt>
                <c:pt idx="73">
                  <c:v>5/27/2019</c:v>
                </c:pt>
                <c:pt idx="74">
                  <c:v>6/3/2019</c:v>
                </c:pt>
                <c:pt idx="75">
                  <c:v>6/10/2019</c:v>
                </c:pt>
                <c:pt idx="76">
                  <c:v>6/17/2019</c:v>
                </c:pt>
                <c:pt idx="77">
                  <c:v>6/24/2019</c:v>
                </c:pt>
                <c:pt idx="78">
                  <c:v>7/1/2019</c:v>
                </c:pt>
                <c:pt idx="79">
                  <c:v>7/8/2019</c:v>
                </c:pt>
                <c:pt idx="80">
                  <c:v>7/15/2019</c:v>
                </c:pt>
                <c:pt idx="81">
                  <c:v>7/22/2019</c:v>
                </c:pt>
                <c:pt idx="82">
                  <c:v>7/29/2019</c:v>
                </c:pt>
                <c:pt idx="83">
                  <c:v>8/5/2019</c:v>
                </c:pt>
                <c:pt idx="84">
                  <c:v>8/12/2019</c:v>
                </c:pt>
                <c:pt idx="85">
                  <c:v>8/19/2019</c:v>
                </c:pt>
                <c:pt idx="86">
                  <c:v>8/26/2019</c:v>
                </c:pt>
                <c:pt idx="87">
                  <c:v>9/2/2019</c:v>
                </c:pt>
                <c:pt idx="88">
                  <c:v>9/9/2019</c:v>
                </c:pt>
                <c:pt idx="89">
                  <c:v>9/16/2019</c:v>
                </c:pt>
                <c:pt idx="90">
                  <c:v>9/23/2019</c:v>
                </c:pt>
                <c:pt idx="91">
                  <c:v>9/30/2019</c:v>
                </c:pt>
                <c:pt idx="92">
                  <c:v>10/7/2019</c:v>
                </c:pt>
                <c:pt idx="93">
                  <c:v>10/14/2019</c:v>
                </c:pt>
                <c:pt idx="94">
                  <c:v>10/21/2019</c:v>
                </c:pt>
                <c:pt idx="95">
                  <c:v>10/28/2019</c:v>
                </c:pt>
                <c:pt idx="96">
                  <c:v>11/4/2019</c:v>
                </c:pt>
                <c:pt idx="97">
                  <c:v>11/11/2019</c:v>
                </c:pt>
                <c:pt idx="98">
                  <c:v>11/18/2019</c:v>
                </c:pt>
                <c:pt idx="99">
                  <c:v>11/25/2019</c:v>
                </c:pt>
                <c:pt idx="100">
                  <c:v>12/2/2019</c:v>
                </c:pt>
                <c:pt idx="101">
                  <c:v>12/9/2019</c:v>
                </c:pt>
                <c:pt idx="102">
                  <c:v>12/16/2019</c:v>
                </c:pt>
                <c:pt idx="103">
                  <c:v>12/23/2019</c:v>
                </c:pt>
                <c:pt idx="104">
                  <c:v>12/30/2019</c:v>
                </c:pt>
                <c:pt idx="105">
                  <c:v>1/6/2020</c:v>
                </c:pt>
                <c:pt idx="106">
                  <c:v>1/13/2020</c:v>
                </c:pt>
                <c:pt idx="107">
                  <c:v>1/20/2020</c:v>
                </c:pt>
                <c:pt idx="108">
                  <c:v>1/27/2020</c:v>
                </c:pt>
                <c:pt idx="109">
                  <c:v>2/3/2020</c:v>
                </c:pt>
                <c:pt idx="110">
                  <c:v>2/10/2020</c:v>
                </c:pt>
                <c:pt idx="111">
                  <c:v>2/17/2020</c:v>
                </c:pt>
                <c:pt idx="112">
                  <c:v>2/24/2020</c:v>
                </c:pt>
                <c:pt idx="113">
                  <c:v>3/2/2020</c:v>
                </c:pt>
                <c:pt idx="114">
                  <c:v>3/9/2020</c:v>
                </c:pt>
                <c:pt idx="115">
                  <c:v>3/16/2020</c:v>
                </c:pt>
                <c:pt idx="116">
                  <c:v>3/23/2020</c:v>
                </c:pt>
                <c:pt idx="117">
                  <c:v>3/30/2020</c:v>
                </c:pt>
                <c:pt idx="118">
                  <c:v>4/6/2020</c:v>
                </c:pt>
                <c:pt idx="119">
                  <c:v>4/13/2020</c:v>
                </c:pt>
                <c:pt idx="120">
                  <c:v>4/20/2020</c:v>
                </c:pt>
                <c:pt idx="121">
                  <c:v>4/27/2020</c:v>
                </c:pt>
                <c:pt idx="122">
                  <c:v>5/4/2020</c:v>
                </c:pt>
                <c:pt idx="123">
                  <c:v>5/11/2020</c:v>
                </c:pt>
                <c:pt idx="124">
                  <c:v>5/18/2020</c:v>
                </c:pt>
                <c:pt idx="125">
                  <c:v>5/25/2020</c:v>
                </c:pt>
                <c:pt idx="126">
                  <c:v>6/1/2020</c:v>
                </c:pt>
                <c:pt idx="127">
                  <c:v>6/8/2020</c:v>
                </c:pt>
                <c:pt idx="128">
                  <c:v>6/15/2020</c:v>
                </c:pt>
                <c:pt idx="129">
                  <c:v>6/22/2020</c:v>
                </c:pt>
                <c:pt idx="130">
                  <c:v>6/29/2020</c:v>
                </c:pt>
                <c:pt idx="131">
                  <c:v>7/6/2020</c:v>
                </c:pt>
                <c:pt idx="132">
                  <c:v>7/13/2020</c:v>
                </c:pt>
                <c:pt idx="133">
                  <c:v>7/20/2020</c:v>
                </c:pt>
                <c:pt idx="134">
                  <c:v>7/27/2020</c:v>
                </c:pt>
                <c:pt idx="135">
                  <c:v>8/3/2020</c:v>
                </c:pt>
                <c:pt idx="136">
                  <c:v>8/10/2020</c:v>
                </c:pt>
                <c:pt idx="137">
                  <c:v>8/17/2020</c:v>
                </c:pt>
                <c:pt idx="138">
                  <c:v>8/24/2020</c:v>
                </c:pt>
                <c:pt idx="139">
                  <c:v>8/31/2020</c:v>
                </c:pt>
                <c:pt idx="140">
                  <c:v>9/7/2020</c:v>
                </c:pt>
                <c:pt idx="141">
                  <c:v>9/14/2020</c:v>
                </c:pt>
                <c:pt idx="142">
                  <c:v>9/21/2020</c:v>
                </c:pt>
                <c:pt idx="143">
                  <c:v>9/28/2020</c:v>
                </c:pt>
                <c:pt idx="144">
                  <c:v>10/5/2020</c:v>
                </c:pt>
                <c:pt idx="145">
                  <c:v>10/12/2020</c:v>
                </c:pt>
                <c:pt idx="146">
                  <c:v>10/19/2020</c:v>
                </c:pt>
                <c:pt idx="147">
                  <c:v>10/26/2020</c:v>
                </c:pt>
                <c:pt idx="148">
                  <c:v>11/2/2020</c:v>
                </c:pt>
                <c:pt idx="149">
                  <c:v>11/9/2020</c:v>
                </c:pt>
                <c:pt idx="150">
                  <c:v>11/16/2020</c:v>
                </c:pt>
                <c:pt idx="151">
                  <c:v>11/23/2020</c:v>
                </c:pt>
                <c:pt idx="152">
                  <c:v>11/30/2020</c:v>
                </c:pt>
                <c:pt idx="153">
                  <c:v>12/7/2020</c:v>
                </c:pt>
                <c:pt idx="154">
                  <c:v>12/14/2020</c:v>
                </c:pt>
                <c:pt idx="155">
                  <c:v>12/21/2020</c:v>
                </c:pt>
                <c:pt idx="156">
                  <c:v>12/28/2020</c:v>
                </c:pt>
                <c:pt idx="157">
                  <c:v>1/4/2021</c:v>
                </c:pt>
                <c:pt idx="158">
                  <c:v>1/11/2021</c:v>
                </c:pt>
                <c:pt idx="159">
                  <c:v>1/18/2021</c:v>
                </c:pt>
                <c:pt idx="160">
                  <c:v>1/25/2021</c:v>
                </c:pt>
                <c:pt idx="161">
                  <c:v>2/1/2021</c:v>
                </c:pt>
                <c:pt idx="162">
                  <c:v>2/8/2021</c:v>
                </c:pt>
                <c:pt idx="163">
                  <c:v>2/15/2021</c:v>
                </c:pt>
                <c:pt idx="164">
                  <c:v>2/22/2021</c:v>
                </c:pt>
                <c:pt idx="165">
                  <c:v>3/1/2021</c:v>
                </c:pt>
                <c:pt idx="166">
                  <c:v>3/8/2021</c:v>
                </c:pt>
                <c:pt idx="167">
                  <c:v>3/15/2021</c:v>
                </c:pt>
                <c:pt idx="168">
                  <c:v>3/22/2021</c:v>
                </c:pt>
                <c:pt idx="169">
                  <c:v>3/29/2021</c:v>
                </c:pt>
                <c:pt idx="170">
                  <c:v>4/5/2021</c:v>
                </c:pt>
                <c:pt idx="171">
                  <c:v>4/12/2021</c:v>
                </c:pt>
                <c:pt idx="172">
                  <c:v>4/19/2021</c:v>
                </c:pt>
                <c:pt idx="173">
                  <c:v>4/26/2021</c:v>
                </c:pt>
                <c:pt idx="174">
                  <c:v>5/3/2021</c:v>
                </c:pt>
                <c:pt idx="175">
                  <c:v>5/10/2021</c:v>
                </c:pt>
                <c:pt idx="176">
                  <c:v>5/17/2021</c:v>
                </c:pt>
                <c:pt idx="177">
                  <c:v>5/24/2021</c:v>
                </c:pt>
                <c:pt idx="178">
                  <c:v>5/31/2021</c:v>
                </c:pt>
                <c:pt idx="179">
                  <c:v>6/7/2021</c:v>
                </c:pt>
                <c:pt idx="180">
                  <c:v>6/14/2021</c:v>
                </c:pt>
                <c:pt idx="181">
                  <c:v>6/21/2021</c:v>
                </c:pt>
                <c:pt idx="182">
                  <c:v>6/28/2021</c:v>
                </c:pt>
                <c:pt idx="183">
                  <c:v>7/5/2021</c:v>
                </c:pt>
                <c:pt idx="184">
                  <c:v>7/12/2021</c:v>
                </c:pt>
                <c:pt idx="185">
                  <c:v>7/19/2021</c:v>
                </c:pt>
                <c:pt idx="186">
                  <c:v>7/26/2021</c:v>
                </c:pt>
                <c:pt idx="187">
                  <c:v>8/2/2021</c:v>
                </c:pt>
                <c:pt idx="188">
                  <c:v>8/9/2021</c:v>
                </c:pt>
                <c:pt idx="189">
                  <c:v>8/16/2021</c:v>
                </c:pt>
                <c:pt idx="190">
                  <c:v>8/23/2021</c:v>
                </c:pt>
                <c:pt idx="191">
                  <c:v>8/30/2021</c:v>
                </c:pt>
                <c:pt idx="192">
                  <c:v>9/6/2021</c:v>
                </c:pt>
                <c:pt idx="193">
                  <c:v>9/13/2021</c:v>
                </c:pt>
                <c:pt idx="194">
                  <c:v>9/20/2021</c:v>
                </c:pt>
                <c:pt idx="195">
                  <c:v>9/27/2021</c:v>
                </c:pt>
                <c:pt idx="196">
                  <c:v>10/4/2021</c:v>
                </c:pt>
                <c:pt idx="197">
                  <c:v>10/11/2021</c:v>
                </c:pt>
                <c:pt idx="198">
                  <c:v>10/18/2021</c:v>
                </c:pt>
                <c:pt idx="199">
                  <c:v>10/25/2021</c:v>
                </c:pt>
                <c:pt idx="200">
                  <c:v>11/1/2021</c:v>
                </c:pt>
                <c:pt idx="201">
                  <c:v>11/8/2021</c:v>
                </c:pt>
                <c:pt idx="202">
                  <c:v>11/15/2021</c:v>
                </c:pt>
                <c:pt idx="203">
                  <c:v>11/22/2021</c:v>
                </c:pt>
                <c:pt idx="204">
                  <c:v>11/29/2021</c:v>
                </c:pt>
                <c:pt idx="205">
                  <c:v>12/6/2021</c:v>
                </c:pt>
                <c:pt idx="206">
                  <c:v>12/13/2021</c:v>
                </c:pt>
                <c:pt idx="207">
                  <c:v>12/20/2021</c:v>
                </c:pt>
                <c:pt idx="208">
                  <c:v>12/27/2021</c:v>
                </c:pt>
                <c:pt idx="209">
                  <c:v>1/3/2022</c:v>
                </c:pt>
                <c:pt idx="210">
                  <c:v>1/10/2022</c:v>
                </c:pt>
                <c:pt idx="211">
                  <c:v>1/17/2022</c:v>
                </c:pt>
                <c:pt idx="212">
                  <c:v>1/24/2022</c:v>
                </c:pt>
                <c:pt idx="213">
                  <c:v>1/31/2022</c:v>
                </c:pt>
                <c:pt idx="214">
                  <c:v>2/7/2022</c:v>
                </c:pt>
                <c:pt idx="215">
                  <c:v>2/14/2022</c:v>
                </c:pt>
                <c:pt idx="216">
                  <c:v>2/21/2022</c:v>
                </c:pt>
                <c:pt idx="217">
                  <c:v>2/28/2022</c:v>
                </c:pt>
                <c:pt idx="218">
                  <c:v>3/7/2022</c:v>
                </c:pt>
                <c:pt idx="219">
                  <c:v>3/14/2022</c:v>
                </c:pt>
                <c:pt idx="220">
                  <c:v>3/21/2022</c:v>
                </c:pt>
                <c:pt idx="221">
                  <c:v>3/28/2022</c:v>
                </c:pt>
                <c:pt idx="222">
                  <c:v>4/4/2022</c:v>
                </c:pt>
                <c:pt idx="223">
                  <c:v>4/11/2022</c:v>
                </c:pt>
                <c:pt idx="224">
                  <c:v>4/18/2022</c:v>
                </c:pt>
                <c:pt idx="225">
                  <c:v>4/25/2022</c:v>
                </c:pt>
                <c:pt idx="226">
                  <c:v>5/2/2022</c:v>
                </c:pt>
                <c:pt idx="227">
                  <c:v>5/9/2022</c:v>
                </c:pt>
                <c:pt idx="228">
                  <c:v>5/16/2022</c:v>
                </c:pt>
                <c:pt idx="229">
                  <c:v>5/23/2022</c:v>
                </c:pt>
                <c:pt idx="230">
                  <c:v>5/30/2022</c:v>
                </c:pt>
                <c:pt idx="231">
                  <c:v>6/6/2022</c:v>
                </c:pt>
                <c:pt idx="232">
                  <c:v>6/13/2022</c:v>
                </c:pt>
                <c:pt idx="233">
                  <c:v>6/20/2022</c:v>
                </c:pt>
                <c:pt idx="234">
                  <c:v>6/27/2022</c:v>
                </c:pt>
                <c:pt idx="235">
                  <c:v>7/4/2022</c:v>
                </c:pt>
                <c:pt idx="236">
                  <c:v>7/11/2022</c:v>
                </c:pt>
                <c:pt idx="237">
                  <c:v>7/18/2022</c:v>
                </c:pt>
                <c:pt idx="238">
                  <c:v>7/25/2022</c:v>
                </c:pt>
                <c:pt idx="239">
                  <c:v>8/1/2022</c:v>
                </c:pt>
                <c:pt idx="240">
                  <c:v>8/8/2022</c:v>
                </c:pt>
                <c:pt idx="241">
                  <c:v>8/15/2022</c:v>
                </c:pt>
                <c:pt idx="242">
                  <c:v>8/22/2022</c:v>
                </c:pt>
                <c:pt idx="243">
                  <c:v>8/29/2022</c:v>
                </c:pt>
                <c:pt idx="244">
                  <c:v>9/5/2022</c:v>
                </c:pt>
                <c:pt idx="245">
                  <c:v>9/12/2022</c:v>
                </c:pt>
                <c:pt idx="246">
                  <c:v>9/19/2022</c:v>
                </c:pt>
                <c:pt idx="247">
                  <c:v>9/26/2022</c:v>
                </c:pt>
                <c:pt idx="248">
                  <c:v>10/3/2022</c:v>
                </c:pt>
                <c:pt idx="249">
                  <c:v>10/10/2022</c:v>
                </c:pt>
                <c:pt idx="250">
                  <c:v>10/17/2022</c:v>
                </c:pt>
                <c:pt idx="251">
                  <c:v>10/24/2022</c:v>
                </c:pt>
                <c:pt idx="252">
                  <c:v>10/31/2022</c:v>
                </c:pt>
                <c:pt idx="253">
                  <c:v>11/7/2022</c:v>
                </c:pt>
                <c:pt idx="254">
                  <c:v>11/14/2022</c:v>
                </c:pt>
                <c:pt idx="255">
                  <c:v>11/21/2022</c:v>
                </c:pt>
                <c:pt idx="256">
                  <c:v>11/28/2022</c:v>
                </c:pt>
                <c:pt idx="257">
                  <c:v>12/5/2022</c:v>
                </c:pt>
                <c:pt idx="258">
                  <c:v>12/12/2022</c:v>
                </c:pt>
                <c:pt idx="259">
                  <c:v>12/19/2022</c:v>
                </c:pt>
                <c:pt idx="260">
                  <c:v>12/26/2022</c:v>
                </c:pt>
                <c:pt idx="261">
                  <c:v>1/2/2023</c:v>
                </c:pt>
                <c:pt idx="262">
                  <c:v>1/9/2023</c:v>
                </c:pt>
                <c:pt idx="263">
                  <c:v>1/16/2023</c:v>
                </c:pt>
                <c:pt idx="264">
                  <c:v>1/23/2023</c:v>
                </c:pt>
                <c:pt idx="265">
                  <c:v>1/30/2023</c:v>
                </c:pt>
                <c:pt idx="266">
                  <c:v>2/6/2023</c:v>
                </c:pt>
                <c:pt idx="267">
                  <c:v>2/13/2023</c:v>
                </c:pt>
                <c:pt idx="268">
                  <c:v>2/20/2023</c:v>
                </c:pt>
                <c:pt idx="269">
                  <c:v>2/27/2023</c:v>
                </c:pt>
                <c:pt idx="270">
                  <c:v>3/6/2023</c:v>
                </c:pt>
                <c:pt idx="271">
                  <c:v>3/13/2023</c:v>
                </c:pt>
                <c:pt idx="272">
                  <c:v>3/20/2023</c:v>
                </c:pt>
                <c:pt idx="273">
                  <c:v>3/27/2023</c:v>
                </c:pt>
                <c:pt idx="274">
                  <c:v>4/3/2023</c:v>
                </c:pt>
                <c:pt idx="275">
                  <c:v>4/10/2023</c:v>
                </c:pt>
                <c:pt idx="276">
                  <c:v>4/17/2023</c:v>
                </c:pt>
                <c:pt idx="277">
                  <c:v>4/24/2023</c:v>
                </c:pt>
                <c:pt idx="278">
                  <c:v>5/1/2023</c:v>
                </c:pt>
                <c:pt idx="279">
                  <c:v>5/8/2023</c:v>
                </c:pt>
                <c:pt idx="280">
                  <c:v>5/15/2023</c:v>
                </c:pt>
                <c:pt idx="281">
                  <c:v>5/22/2023</c:v>
                </c:pt>
                <c:pt idx="282">
                  <c:v>5/29/2023</c:v>
                </c:pt>
                <c:pt idx="283">
                  <c:v>6/5/2023</c:v>
                </c:pt>
                <c:pt idx="284">
                  <c:v>6/12/2023</c:v>
                </c:pt>
                <c:pt idx="285">
                  <c:v>6/19/2023</c:v>
                </c:pt>
                <c:pt idx="286">
                  <c:v>6/26/2023</c:v>
                </c:pt>
                <c:pt idx="287">
                  <c:v>7/3/2023</c:v>
                </c:pt>
                <c:pt idx="288">
                  <c:v>7/10/2023</c:v>
                </c:pt>
                <c:pt idx="289">
                  <c:v>7/17/2023</c:v>
                </c:pt>
                <c:pt idx="290">
                  <c:v>7/24/2023</c:v>
                </c:pt>
                <c:pt idx="291">
                  <c:v>7/31/2023</c:v>
                </c:pt>
                <c:pt idx="292">
                  <c:v>8/7/2023</c:v>
                </c:pt>
                <c:pt idx="293">
                  <c:v>8/14/2023</c:v>
                </c:pt>
                <c:pt idx="294">
                  <c:v>8/21/2023</c:v>
                </c:pt>
                <c:pt idx="295">
                  <c:v>8/28/2023</c:v>
                </c:pt>
                <c:pt idx="296">
                  <c:v>9/4/2023</c:v>
                </c:pt>
                <c:pt idx="297">
                  <c:v>9/11/2023</c:v>
                </c:pt>
                <c:pt idx="298">
                  <c:v>9/18/2023</c:v>
                </c:pt>
                <c:pt idx="299">
                  <c:v>9/25/2023</c:v>
                </c:pt>
                <c:pt idx="300">
                  <c:v>10/2/2023</c:v>
                </c:pt>
                <c:pt idx="301">
                  <c:v>10/9/2023</c:v>
                </c:pt>
                <c:pt idx="302">
                  <c:v>10/16/2023</c:v>
                </c:pt>
                <c:pt idx="303">
                  <c:v>10/23/2023</c:v>
                </c:pt>
                <c:pt idx="304">
                  <c:v>10/30/2023</c:v>
                </c:pt>
                <c:pt idx="305">
                  <c:v>11/6/2023</c:v>
                </c:pt>
                <c:pt idx="306">
                  <c:v>11/13/2023</c:v>
                </c:pt>
                <c:pt idx="307">
                  <c:v>11/20/2023</c:v>
                </c:pt>
                <c:pt idx="308">
                  <c:v>11/27/2023</c:v>
                </c:pt>
                <c:pt idx="309">
                  <c:v>12/4/2023</c:v>
                </c:pt>
                <c:pt idx="310">
                  <c:v>12/11/2023</c:v>
                </c:pt>
                <c:pt idx="311">
                  <c:v>12/18/2023</c:v>
                </c:pt>
                <c:pt idx="312">
                  <c:v>12/25/2023</c:v>
                </c:pt>
                <c:pt idx="313">
                  <c:v>1/1/2024</c:v>
                </c:pt>
                <c:pt idx="314">
                  <c:v>1/8/2024</c:v>
                </c:pt>
                <c:pt idx="315">
                  <c:v>1/15/2024</c:v>
                </c:pt>
                <c:pt idx="316">
                  <c:v>1/22/2024</c:v>
                </c:pt>
                <c:pt idx="317">
                  <c:v>1/29/2024</c:v>
                </c:pt>
                <c:pt idx="318">
                  <c:v>2/5/2024</c:v>
                </c:pt>
                <c:pt idx="319">
                  <c:v>2/12/2024</c:v>
                </c:pt>
                <c:pt idx="320">
                  <c:v>2/19/2024</c:v>
                </c:pt>
                <c:pt idx="321">
                  <c:v>2/26/2024</c:v>
                </c:pt>
                <c:pt idx="322">
                  <c:v>3/4/2024</c:v>
                </c:pt>
                <c:pt idx="323">
                  <c:v>3/11/2024</c:v>
                </c:pt>
                <c:pt idx="324">
                  <c:v>3/18/2024</c:v>
                </c:pt>
                <c:pt idx="325">
                  <c:v>3/25/2024</c:v>
                </c:pt>
                <c:pt idx="326">
                  <c:v>4/1/2024</c:v>
                </c:pt>
                <c:pt idx="327">
                  <c:v>4/8/2024</c:v>
                </c:pt>
                <c:pt idx="328">
                  <c:v>4/15/2024</c:v>
                </c:pt>
                <c:pt idx="329">
                  <c:v>4/22/2024</c:v>
                </c:pt>
                <c:pt idx="330">
                  <c:v>4/29/2024</c:v>
                </c:pt>
                <c:pt idx="331">
                  <c:v>5/6/2024</c:v>
                </c:pt>
                <c:pt idx="332">
                  <c:v>5/13/2024</c:v>
                </c:pt>
                <c:pt idx="333">
                  <c:v>5/20/2024</c:v>
                </c:pt>
                <c:pt idx="334">
                  <c:v>5/27/2024</c:v>
                </c:pt>
                <c:pt idx="335">
                  <c:v>6/3/2024</c:v>
                </c:pt>
                <c:pt idx="336">
                  <c:v>6/10/2024</c:v>
                </c:pt>
                <c:pt idx="337">
                  <c:v>6/17/2024</c:v>
                </c:pt>
                <c:pt idx="338">
                  <c:v>6/24/2024</c:v>
                </c:pt>
                <c:pt idx="339">
                  <c:v>7/1/2024</c:v>
                </c:pt>
                <c:pt idx="340">
                  <c:v>7/8/2024</c:v>
                </c:pt>
                <c:pt idx="341">
                  <c:v>7/15/2024</c:v>
                </c:pt>
                <c:pt idx="342">
                  <c:v>7/22/2024</c:v>
                </c:pt>
                <c:pt idx="343">
                  <c:v>7/29/2024</c:v>
                </c:pt>
                <c:pt idx="344">
                  <c:v>8/5/2024</c:v>
                </c:pt>
                <c:pt idx="345">
                  <c:v>8/12/2024</c:v>
                </c:pt>
                <c:pt idx="346">
                  <c:v>8/19/2024</c:v>
                </c:pt>
                <c:pt idx="347">
                  <c:v>8/26/2024</c:v>
                </c:pt>
                <c:pt idx="348">
                  <c:v>9/2/2024</c:v>
                </c:pt>
                <c:pt idx="349">
                  <c:v>9/9/2024</c:v>
                </c:pt>
                <c:pt idx="350">
                  <c:v>9/16/2024</c:v>
                </c:pt>
                <c:pt idx="351">
                  <c:v>9/23/2024</c:v>
                </c:pt>
                <c:pt idx="352">
                  <c:v>9/30/2024</c:v>
                </c:pt>
                <c:pt idx="353">
                  <c:v>10/7/2024</c:v>
                </c:pt>
                <c:pt idx="354">
                  <c:v>10/14/2024</c:v>
                </c:pt>
                <c:pt idx="355">
                  <c:v>10/21/2024</c:v>
                </c:pt>
                <c:pt idx="356">
                  <c:v>10/28/2024</c:v>
                </c:pt>
                <c:pt idx="357">
                  <c:v>11/4/2024</c:v>
                </c:pt>
                <c:pt idx="358">
                  <c:v>11/11/2024</c:v>
                </c:pt>
                <c:pt idx="359">
                  <c:v>11/18/2024</c:v>
                </c:pt>
                <c:pt idx="360">
                  <c:v>11/25/2024</c:v>
                </c:pt>
                <c:pt idx="361">
                  <c:v>12/2/2024</c:v>
                </c:pt>
                <c:pt idx="362">
                  <c:v>12/9/2024</c:v>
                </c:pt>
                <c:pt idx="363">
                  <c:v>12/16/2024</c:v>
                </c:pt>
                <c:pt idx="364">
                  <c:v>12/23/2024</c:v>
                </c:pt>
                <c:pt idx="365">
                  <c:v>12/30/2024</c:v>
                </c:pt>
                <c:pt idx="366">
                  <c:v>1/6/2025</c:v>
                </c:pt>
                <c:pt idx="367">
                  <c:v>1/13/2025</c:v>
                </c:pt>
                <c:pt idx="368">
                  <c:v>1/20/2025</c:v>
                </c:pt>
                <c:pt idx="369">
                  <c:v>1/27/2025</c:v>
                </c:pt>
                <c:pt idx="370">
                  <c:v>2/3/2025</c:v>
                </c:pt>
                <c:pt idx="371">
                  <c:v>2/10/2025</c:v>
                </c:pt>
                <c:pt idx="372">
                  <c:v>2/17/2025</c:v>
                </c:pt>
                <c:pt idx="373">
                  <c:v>2/24/2025</c:v>
                </c:pt>
                <c:pt idx="374">
                  <c:v>3/3/2025</c:v>
                </c:pt>
                <c:pt idx="375">
                  <c:v>3/10/2025</c:v>
                </c:pt>
                <c:pt idx="376">
                  <c:v>3/17/2025</c:v>
                </c:pt>
                <c:pt idx="377">
                  <c:v>3/24/2025</c:v>
                </c:pt>
                <c:pt idx="378">
                  <c:v>3/31/2025</c:v>
                </c:pt>
                <c:pt idx="379">
                  <c:v>4/7/2025</c:v>
                </c:pt>
                <c:pt idx="380">
                  <c:v>4/14/2025</c:v>
                </c:pt>
                <c:pt idx="381">
                  <c:v>4/21/2025</c:v>
                </c:pt>
                <c:pt idx="382">
                  <c:v>4/28/2025</c:v>
                </c:pt>
                <c:pt idx="383">
                  <c:v>5/5/2025</c:v>
                </c:pt>
                <c:pt idx="384">
                  <c:v>5/12/2025</c:v>
                </c:pt>
                <c:pt idx="385">
                  <c:v>5/19/2025</c:v>
                </c:pt>
                <c:pt idx="386">
                  <c:v>5/26/2025</c:v>
                </c:pt>
                <c:pt idx="387">
                  <c:v>6/2/2025</c:v>
                </c:pt>
                <c:pt idx="388">
                  <c:v>6/9/2025</c:v>
                </c:pt>
                <c:pt idx="389">
                  <c:v>6/16/2025</c:v>
                </c:pt>
                <c:pt idx="390">
                  <c:v>6/23/2025</c:v>
                </c:pt>
                <c:pt idx="391">
                  <c:v>6/30/2025</c:v>
                </c:pt>
                <c:pt idx="392">
                  <c:v>7/7/2025</c:v>
                </c:pt>
                <c:pt idx="393">
                  <c:v>7/14/2025</c:v>
                </c:pt>
                <c:pt idx="394">
                  <c:v>7/21/2025</c:v>
                </c:pt>
                <c:pt idx="395">
                  <c:v>7/28/2025</c:v>
                </c:pt>
                <c:pt idx="396">
                  <c:v>8/4/2025</c:v>
                </c:pt>
                <c:pt idx="397">
                  <c:v>8/11/2025</c:v>
                </c:pt>
                <c:pt idx="398">
                  <c:v>8/18/2025</c:v>
                </c:pt>
                <c:pt idx="399">
                  <c:v>8/25/2025</c:v>
                </c:pt>
                <c:pt idx="400">
                  <c:v>9/1/2025</c:v>
                </c:pt>
                <c:pt idx="401">
                  <c:v>9/8/2025</c:v>
                </c:pt>
                <c:pt idx="402">
                  <c:v>9/15/2025</c:v>
                </c:pt>
                <c:pt idx="403">
                  <c:v>9/22/2025</c:v>
                </c:pt>
                <c:pt idx="404">
                  <c:v>9/29/2025</c:v>
                </c:pt>
                <c:pt idx="405">
                  <c:v>10/6/2025</c:v>
                </c:pt>
                <c:pt idx="406">
                  <c:v>10/13/2025</c:v>
                </c:pt>
                <c:pt idx="407">
                  <c:v>10/20/2025</c:v>
                </c:pt>
                <c:pt idx="408">
                  <c:v>10/27/2025</c:v>
                </c:pt>
                <c:pt idx="409">
                  <c:v>11/3/2025</c:v>
                </c:pt>
                <c:pt idx="410">
                  <c:v>11/10/2025</c:v>
                </c:pt>
                <c:pt idx="411">
                  <c:v>11/17/2025</c:v>
                </c:pt>
                <c:pt idx="412">
                  <c:v>11/24/2025</c:v>
                </c:pt>
                <c:pt idx="413">
                  <c:v>12/1/2025</c:v>
                </c:pt>
                <c:pt idx="414">
                  <c:v>12/8/2025</c:v>
                </c:pt>
                <c:pt idx="415">
                  <c:v>12/15/2025</c:v>
                </c:pt>
                <c:pt idx="416">
                  <c:v>12/22/2025</c:v>
                </c:pt>
                <c:pt idx="417">
                  <c:v>12/29/2025</c:v>
                </c:pt>
                <c:pt idx="418">
                  <c:v>1/5/2026</c:v>
                </c:pt>
                <c:pt idx="419">
                  <c:v>1/12/2026</c:v>
                </c:pt>
                <c:pt idx="420">
                  <c:v>1/19/2026</c:v>
                </c:pt>
                <c:pt idx="421">
                  <c:v>1/26/2026</c:v>
                </c:pt>
                <c:pt idx="422">
                  <c:v>2/2/2026</c:v>
                </c:pt>
                <c:pt idx="423">
                  <c:v>2/9/2026</c:v>
                </c:pt>
                <c:pt idx="424">
                  <c:v>2/16/2026</c:v>
                </c:pt>
                <c:pt idx="425">
                  <c:v>2/23/2026</c:v>
                </c:pt>
                <c:pt idx="426">
                  <c:v>3/2/2026</c:v>
                </c:pt>
                <c:pt idx="427">
                  <c:v>3/9/2026</c:v>
                </c:pt>
                <c:pt idx="428">
                  <c:v>3/16/2026</c:v>
                </c:pt>
                <c:pt idx="429">
                  <c:v>3/23/2026</c:v>
                </c:pt>
                <c:pt idx="430">
                  <c:v>3/30/2026</c:v>
                </c:pt>
                <c:pt idx="431">
                  <c:v>4/6/2026</c:v>
                </c:pt>
                <c:pt idx="432">
                  <c:v>4/13/2026</c:v>
                </c:pt>
                <c:pt idx="433">
                  <c:v>4/20/2026</c:v>
                </c:pt>
                <c:pt idx="434">
                  <c:v>4/27/2026</c:v>
                </c:pt>
                <c:pt idx="435">
                  <c:v>5/4/2026</c:v>
                </c:pt>
                <c:pt idx="436">
                  <c:v>5/11/2026</c:v>
                </c:pt>
                <c:pt idx="437">
                  <c:v>5/18/2026</c:v>
                </c:pt>
                <c:pt idx="438">
                  <c:v>5/25/2026</c:v>
                </c:pt>
                <c:pt idx="439">
                  <c:v>6/1/2026</c:v>
                </c:pt>
                <c:pt idx="440">
                  <c:v>6/8/2026</c:v>
                </c:pt>
                <c:pt idx="441">
                  <c:v>6/15/2026</c:v>
                </c:pt>
                <c:pt idx="442">
                  <c:v>6/22/2026</c:v>
                </c:pt>
                <c:pt idx="443">
                  <c:v>6/29/2026</c:v>
                </c:pt>
                <c:pt idx="444">
                  <c:v>7/6/2026</c:v>
                </c:pt>
                <c:pt idx="445">
                  <c:v>7/13/2026</c:v>
                </c:pt>
                <c:pt idx="446">
                  <c:v>7/20/2026</c:v>
                </c:pt>
                <c:pt idx="447">
                  <c:v>7/27/2026</c:v>
                </c:pt>
                <c:pt idx="448">
                  <c:v>8/3/2026</c:v>
                </c:pt>
                <c:pt idx="449">
                  <c:v>8/10/2026</c:v>
                </c:pt>
                <c:pt idx="450">
                  <c:v>8/17/2026</c:v>
                </c:pt>
                <c:pt idx="451">
                  <c:v>8/24/2026</c:v>
                </c:pt>
                <c:pt idx="452">
                  <c:v>8/31/2026</c:v>
                </c:pt>
                <c:pt idx="453">
                  <c:v>9/7/2026</c:v>
                </c:pt>
                <c:pt idx="454">
                  <c:v>9/14/2026</c:v>
                </c:pt>
                <c:pt idx="455">
                  <c:v>9/21/2026</c:v>
                </c:pt>
                <c:pt idx="456">
                  <c:v>9/28/2026</c:v>
                </c:pt>
              </c:numCache>
            </c:numRef>
          </c:cat>
          <c:val>
            <c:numRef>
              <c:f>Weekly_Data!$B$2:$B$458</c:f>
              <c:numCache>
                <c:formatCode>0.00</c:formatCode>
                <c:ptCount val="457"/>
                <c:pt idx="0">
                  <c:v>120.19</c:v>
                </c:pt>
                <c:pt idx="1">
                  <c:v>120.52</c:v>
                </c:pt>
                <c:pt idx="2">
                  <c:v>120.96</c:v>
                </c:pt>
                <c:pt idx="3">
                  <c:v>121.5</c:v>
                </c:pt>
                <c:pt idx="4">
                  <c:v>121.69</c:v>
                </c:pt>
                <c:pt idx="5">
                  <c:v>121.73</c:v>
                </c:pt>
                <c:pt idx="6">
                  <c:v>121.58</c:v>
                </c:pt>
                <c:pt idx="7">
                  <c:v>120.52</c:v>
                </c:pt>
                <c:pt idx="8">
                  <c:v>119.55</c:v>
                </c:pt>
                <c:pt idx="9">
                  <c:v>119.29</c:v>
                </c:pt>
                <c:pt idx="10">
                  <c:v>119.11</c:v>
                </c:pt>
                <c:pt idx="11">
                  <c:v>119.17</c:v>
                </c:pt>
                <c:pt idx="12">
                  <c:v>119.23</c:v>
                </c:pt>
                <c:pt idx="13">
                  <c:v>119.43</c:v>
                </c:pt>
                <c:pt idx="14">
                  <c:v>119.96</c:v>
                </c:pt>
                <c:pt idx="15">
                  <c:v>120.56</c:v>
                </c:pt>
                <c:pt idx="16">
                  <c:v>121.44</c:v>
                </c:pt>
                <c:pt idx="17">
                  <c:v>122.22</c:v>
                </c:pt>
                <c:pt idx="18">
                  <c:v>123.27</c:v>
                </c:pt>
                <c:pt idx="19">
                  <c:v>124.32</c:v>
                </c:pt>
                <c:pt idx="20">
                  <c:v>125.93</c:v>
                </c:pt>
                <c:pt idx="21">
                  <c:v>127.58</c:v>
                </c:pt>
                <c:pt idx="22">
                  <c:v>128.43</c:v>
                </c:pt>
                <c:pt idx="23">
                  <c:v>128.61</c:v>
                </c:pt>
                <c:pt idx="24">
                  <c:v>127.92</c:v>
                </c:pt>
                <c:pt idx="25">
                  <c:v>127.18</c:v>
                </c:pt>
                <c:pt idx="26">
                  <c:v>126.54</c:v>
                </c:pt>
                <c:pt idx="27">
                  <c:v>126.97</c:v>
                </c:pt>
                <c:pt idx="28">
                  <c:v>127.47</c:v>
                </c:pt>
                <c:pt idx="29">
                  <c:v>127.5</c:v>
                </c:pt>
                <c:pt idx="30">
                  <c:v>127.54</c:v>
                </c:pt>
                <c:pt idx="31">
                  <c:v>128.02</c:v>
                </c:pt>
                <c:pt idx="32">
                  <c:v>128.39</c:v>
                </c:pt>
                <c:pt idx="33">
                  <c:v>128.79</c:v>
                </c:pt>
                <c:pt idx="34">
                  <c:v>129.18</c:v>
                </c:pt>
                <c:pt idx="35">
                  <c:v>129.76</c:v>
                </c:pt>
                <c:pt idx="36">
                  <c:v>130.24</c:v>
                </c:pt>
                <c:pt idx="37">
                  <c:v>130.59</c:v>
                </c:pt>
                <c:pt idx="38">
                  <c:v>130.59</c:v>
                </c:pt>
                <c:pt idx="39">
                  <c:v>129.98</c:v>
                </c:pt>
                <c:pt idx="40">
                  <c:v>130.15</c:v>
                </c:pt>
                <c:pt idx="41">
                  <c:v>130.81</c:v>
                </c:pt>
                <c:pt idx="42">
                  <c:v>130.98</c:v>
                </c:pt>
                <c:pt idx="43">
                  <c:v>130.64</c:v>
                </c:pt>
                <c:pt idx="44">
                  <c:v>130.11</c:v>
                </c:pt>
                <c:pt idx="45">
                  <c:v>128.94</c:v>
                </c:pt>
                <c:pt idx="46">
                  <c:v>127.4</c:v>
                </c:pt>
                <c:pt idx="47">
                  <c:v>125.77</c:v>
                </c:pt>
                <c:pt idx="48">
                  <c:v>124.3</c:v>
                </c:pt>
                <c:pt idx="49">
                  <c:v>122.37</c:v>
                </c:pt>
                <c:pt idx="50">
                  <c:v>121.02</c:v>
                </c:pt>
                <c:pt idx="51">
                  <c:v>120.61</c:v>
                </c:pt>
                <c:pt idx="52">
                  <c:v>120.18</c:v>
                </c:pt>
                <c:pt idx="53">
                  <c:v>120.27</c:v>
                </c:pt>
                <c:pt idx="54">
                  <c:v>119.53</c:v>
                </c:pt>
                <c:pt idx="55">
                  <c:v>119.12</c:v>
                </c:pt>
                <c:pt idx="56">
                  <c:v>119.29</c:v>
                </c:pt>
                <c:pt idx="57">
                  <c:v>119.13</c:v>
                </c:pt>
                <c:pt idx="58">
                  <c:v>118.97</c:v>
                </c:pt>
                <c:pt idx="59">
                  <c:v>119.05</c:v>
                </c:pt>
                <c:pt idx="60">
                  <c:v>119.22</c:v>
                </c:pt>
                <c:pt idx="61">
                  <c:v>119.72</c:v>
                </c:pt>
                <c:pt idx="62">
                  <c:v>120.1</c:v>
                </c:pt>
                <c:pt idx="63">
                  <c:v>120.48</c:v>
                </c:pt>
                <c:pt idx="64">
                  <c:v>120.83</c:v>
                </c:pt>
                <c:pt idx="65">
                  <c:v>121.7</c:v>
                </c:pt>
                <c:pt idx="66">
                  <c:v>122.75</c:v>
                </c:pt>
                <c:pt idx="67">
                  <c:v>124.06</c:v>
                </c:pt>
                <c:pt idx="68">
                  <c:v>125.43</c:v>
                </c:pt>
                <c:pt idx="69">
                  <c:v>126.36</c:v>
                </c:pt>
                <c:pt idx="70">
                  <c:v>127.5</c:v>
                </c:pt>
                <c:pt idx="71">
                  <c:v>127.97</c:v>
                </c:pt>
                <c:pt idx="72">
                  <c:v>128.51</c:v>
                </c:pt>
                <c:pt idx="73">
                  <c:v>129.14</c:v>
                </c:pt>
                <c:pt idx="74">
                  <c:v>129.41</c:v>
                </c:pt>
                <c:pt idx="75">
                  <c:v>128.89</c:v>
                </c:pt>
                <c:pt idx="76">
                  <c:v>127.66</c:v>
                </c:pt>
                <c:pt idx="77">
                  <c:v>126.66</c:v>
                </c:pt>
                <c:pt idx="78">
                  <c:v>126.49</c:v>
                </c:pt>
                <c:pt idx="79">
                  <c:v>126.86</c:v>
                </c:pt>
                <c:pt idx="80">
                  <c:v>127.13</c:v>
                </c:pt>
                <c:pt idx="81">
                  <c:v>127.81</c:v>
                </c:pt>
                <c:pt idx="82">
                  <c:v>128.03</c:v>
                </c:pt>
                <c:pt idx="83">
                  <c:v>128.37</c:v>
                </c:pt>
                <c:pt idx="84">
                  <c:v>128.36</c:v>
                </c:pt>
                <c:pt idx="85">
                  <c:v>128.17</c:v>
                </c:pt>
                <c:pt idx="86">
                  <c:v>128.22</c:v>
                </c:pt>
                <c:pt idx="87">
                  <c:v>127.86</c:v>
                </c:pt>
                <c:pt idx="88">
                  <c:v>127.79</c:v>
                </c:pt>
                <c:pt idx="89">
                  <c:v>126.92</c:v>
                </c:pt>
                <c:pt idx="90">
                  <c:v>126.78</c:v>
                </c:pt>
                <c:pt idx="91">
                  <c:v>126.92</c:v>
                </c:pt>
                <c:pt idx="92">
                  <c:v>126.87</c:v>
                </c:pt>
                <c:pt idx="93">
                  <c:v>126.91</c:v>
                </c:pt>
                <c:pt idx="94">
                  <c:v>126.4</c:v>
                </c:pt>
                <c:pt idx="95">
                  <c:v>125.77</c:v>
                </c:pt>
                <c:pt idx="96">
                  <c:v>125.56</c:v>
                </c:pt>
                <c:pt idx="97">
                  <c:v>125.59</c:v>
                </c:pt>
                <c:pt idx="98">
                  <c:v>125.58</c:v>
                </c:pt>
                <c:pt idx="99">
                  <c:v>125.32</c:v>
                </c:pt>
                <c:pt idx="100">
                  <c:v>124.81</c:v>
                </c:pt>
                <c:pt idx="101">
                  <c:v>124.75</c:v>
                </c:pt>
                <c:pt idx="102">
                  <c:v>124.33</c:v>
                </c:pt>
                <c:pt idx="103">
                  <c:v>124.16</c:v>
                </c:pt>
                <c:pt idx="104">
                  <c:v>124.96</c:v>
                </c:pt>
                <c:pt idx="105">
                  <c:v>126.09</c:v>
                </c:pt>
                <c:pt idx="106">
                  <c:v>127.17</c:v>
                </c:pt>
                <c:pt idx="107">
                  <c:v>127.18</c:v>
                </c:pt>
                <c:pt idx="108">
                  <c:v>127.33</c:v>
                </c:pt>
                <c:pt idx="109">
                  <c:v>125.85</c:v>
                </c:pt>
                <c:pt idx="110">
                  <c:v>124.73</c:v>
                </c:pt>
                <c:pt idx="111">
                  <c:v>123.8</c:v>
                </c:pt>
                <c:pt idx="112">
                  <c:v>123.45</c:v>
                </c:pt>
                <c:pt idx="113">
                  <c:v>122.43</c:v>
                </c:pt>
                <c:pt idx="114">
                  <c:v>122.24</c:v>
                </c:pt>
                <c:pt idx="115">
                  <c:v>120.33</c:v>
                </c:pt>
                <c:pt idx="116">
                  <c:v>119.64</c:v>
                </c:pt>
                <c:pt idx="117">
                  <c:v>112.45</c:v>
                </c:pt>
                <c:pt idx="118">
                  <c:v>110.23</c:v>
                </c:pt>
                <c:pt idx="119">
                  <c:v>109.27</c:v>
                </c:pt>
                <c:pt idx="120">
                  <c:v>108.63</c:v>
                </c:pt>
                <c:pt idx="121">
                  <c:v>107.88</c:v>
                </c:pt>
                <c:pt idx="122">
                  <c:v>107.56</c:v>
                </c:pt>
                <c:pt idx="123">
                  <c:v>107.45</c:v>
                </c:pt>
                <c:pt idx="124">
                  <c:v>105.09</c:v>
                </c:pt>
                <c:pt idx="125">
                  <c:v>104.87</c:v>
                </c:pt>
                <c:pt idx="126">
                  <c:v>105.17</c:v>
                </c:pt>
                <c:pt idx="127">
                  <c:v>105.74</c:v>
                </c:pt>
                <c:pt idx="128">
                  <c:v>106.37</c:v>
                </c:pt>
                <c:pt idx="129">
                  <c:v>107.13</c:v>
                </c:pt>
                <c:pt idx="130">
                  <c:v>108.31</c:v>
                </c:pt>
                <c:pt idx="131">
                  <c:v>109.43</c:v>
                </c:pt>
                <c:pt idx="132">
                  <c:v>111.24</c:v>
                </c:pt>
                <c:pt idx="133">
                  <c:v>112.23</c:v>
                </c:pt>
                <c:pt idx="134">
                  <c:v>112.66</c:v>
                </c:pt>
                <c:pt idx="135">
                  <c:v>112.91</c:v>
                </c:pt>
                <c:pt idx="136">
                  <c:v>113.02</c:v>
                </c:pt>
                <c:pt idx="137">
                  <c:v>113.04</c:v>
                </c:pt>
                <c:pt idx="138">
                  <c:v>113.22</c:v>
                </c:pt>
                <c:pt idx="139">
                  <c:v>113.29</c:v>
                </c:pt>
                <c:pt idx="140">
                  <c:v>113.37</c:v>
                </c:pt>
                <c:pt idx="141">
                  <c:v>113.32</c:v>
                </c:pt>
                <c:pt idx="142">
                  <c:v>113.31</c:v>
                </c:pt>
                <c:pt idx="143">
                  <c:v>113.3</c:v>
                </c:pt>
                <c:pt idx="144">
                  <c:v>113.26</c:v>
                </c:pt>
                <c:pt idx="145">
                  <c:v>113.19</c:v>
                </c:pt>
                <c:pt idx="146">
                  <c:v>113.18</c:v>
                </c:pt>
                <c:pt idx="147">
                  <c:v>113.14</c:v>
                </c:pt>
                <c:pt idx="148">
                  <c:v>113.11</c:v>
                </c:pt>
                <c:pt idx="149">
                  <c:v>112.5</c:v>
                </c:pt>
                <c:pt idx="150">
                  <c:v>112.35</c:v>
                </c:pt>
                <c:pt idx="151">
                  <c:v>112.42</c:v>
                </c:pt>
                <c:pt idx="152">
                  <c:v>112.61</c:v>
                </c:pt>
                <c:pt idx="153">
                  <c:v>113.17</c:v>
                </c:pt>
                <c:pt idx="154">
                  <c:v>113.82</c:v>
                </c:pt>
                <c:pt idx="155">
                  <c:v>114.43</c:v>
                </c:pt>
                <c:pt idx="156">
                  <c:v>114.91</c:v>
                </c:pt>
                <c:pt idx="157">
                  <c:v>115.39</c:v>
                </c:pt>
                <c:pt idx="158">
                  <c:v>116.14</c:v>
                </c:pt>
                <c:pt idx="159">
                  <c:v>116.93</c:v>
                </c:pt>
                <c:pt idx="160">
                  <c:v>118.1</c:v>
                </c:pt>
                <c:pt idx="161">
                  <c:v>119.14</c:v>
                </c:pt>
                <c:pt idx="162">
                  <c:v>119.67</c:v>
                </c:pt>
                <c:pt idx="163">
                  <c:v>120.53</c:v>
                </c:pt>
                <c:pt idx="164">
                  <c:v>121.27</c:v>
                </c:pt>
                <c:pt idx="165">
                  <c:v>122.17</c:v>
                </c:pt>
                <c:pt idx="166">
                  <c:v>122.94</c:v>
                </c:pt>
                <c:pt idx="167">
                  <c:v>123.9</c:v>
                </c:pt>
                <c:pt idx="168">
                  <c:v>124.57</c:v>
                </c:pt>
                <c:pt idx="169">
                  <c:v>125.13</c:v>
                </c:pt>
                <c:pt idx="170">
                  <c:v>125.24</c:v>
                </c:pt>
                <c:pt idx="171">
                  <c:v>125.4</c:v>
                </c:pt>
                <c:pt idx="172">
                  <c:v>125.48</c:v>
                </c:pt>
                <c:pt idx="173">
                  <c:v>125.8</c:v>
                </c:pt>
                <c:pt idx="174">
                  <c:v>126.09</c:v>
                </c:pt>
                <c:pt idx="175">
                  <c:v>126.53</c:v>
                </c:pt>
                <c:pt idx="176">
                  <c:v>127.19</c:v>
                </c:pt>
                <c:pt idx="177">
                  <c:v>127.89</c:v>
                </c:pt>
                <c:pt idx="178">
                  <c:v>128.15</c:v>
                </c:pt>
                <c:pt idx="179">
                  <c:v>128.69</c:v>
                </c:pt>
                <c:pt idx="180">
                  <c:v>129.47</c:v>
                </c:pt>
                <c:pt idx="181">
                  <c:v>130.1</c:v>
                </c:pt>
                <c:pt idx="182">
                  <c:v>130.73</c:v>
                </c:pt>
                <c:pt idx="183">
                  <c:v>131.7</c:v>
                </c:pt>
                <c:pt idx="184">
                  <c:v>132.47</c:v>
                </c:pt>
                <c:pt idx="185">
                  <c:v>133.2</c:v>
                </c:pt>
                <c:pt idx="186">
                  <c:v>133.48</c:v>
                </c:pt>
                <c:pt idx="187">
                  <c:v>134.21</c:v>
                </c:pt>
                <c:pt idx="188">
                  <c:v>134.7</c:v>
                </c:pt>
                <c:pt idx="189">
                  <c:v>134.77</c:v>
                </c:pt>
                <c:pt idx="190">
                  <c:v>134.68</c:v>
                </c:pt>
                <c:pt idx="191">
                  <c:v>134.66</c:v>
                </c:pt>
                <c:pt idx="192">
                  <c:v>134.76</c:v>
                </c:pt>
                <c:pt idx="193">
                  <c:v>134.75</c:v>
                </c:pt>
                <c:pt idx="194">
                  <c:v>134.86</c:v>
                </c:pt>
                <c:pt idx="195">
                  <c:v>135.19</c:v>
                </c:pt>
                <c:pt idx="196">
                  <c:v>136.1</c:v>
                </c:pt>
                <c:pt idx="197">
                  <c:v>137.17</c:v>
                </c:pt>
                <c:pt idx="198">
                  <c:v>139.46</c:v>
                </c:pt>
                <c:pt idx="199">
                  <c:v>141.81</c:v>
                </c:pt>
                <c:pt idx="200">
                  <c:v>143.7</c:v>
                </c:pt>
                <c:pt idx="201">
                  <c:v>144.9</c:v>
                </c:pt>
                <c:pt idx="202">
                  <c:v>145.87</c:v>
                </c:pt>
                <c:pt idx="203">
                  <c:v>146.89</c:v>
                </c:pt>
                <c:pt idx="204">
                  <c:v>147.53</c:v>
                </c:pt>
                <c:pt idx="205">
                  <c:v>146.89</c:v>
                </c:pt>
                <c:pt idx="206">
                  <c:v>146.22</c:v>
                </c:pt>
                <c:pt idx="207">
                  <c:v>145.16</c:v>
                </c:pt>
                <c:pt idx="208">
                  <c:v>144.92</c:v>
                </c:pt>
                <c:pt idx="209">
                  <c:v>145.04</c:v>
                </c:pt>
                <c:pt idx="210">
                  <c:v>144.82</c:v>
                </c:pt>
                <c:pt idx="211">
                  <c:v>144.8</c:v>
                </c:pt>
                <c:pt idx="212">
                  <c:v>144.87</c:v>
                </c:pt>
                <c:pt idx="213">
                  <c:v>145.74</c:v>
                </c:pt>
                <c:pt idx="214">
                  <c:v>146.33</c:v>
                </c:pt>
                <c:pt idx="215">
                  <c:v>146.95</c:v>
                </c:pt>
                <c:pt idx="216">
                  <c:v>147.77</c:v>
                </c:pt>
                <c:pt idx="217">
                  <c:v>149.22</c:v>
                </c:pt>
                <c:pt idx="218">
                  <c:v>152.95</c:v>
                </c:pt>
                <c:pt idx="219">
                  <c:v>159.96</c:v>
                </c:pt>
                <c:pt idx="220">
                  <c:v>165.37</c:v>
                </c:pt>
                <c:pt idx="221">
                  <c:v>162.65</c:v>
                </c:pt>
                <c:pt idx="222">
                  <c:v>161.91</c:v>
                </c:pt>
                <c:pt idx="223">
                  <c:v>161.78</c:v>
                </c:pt>
                <c:pt idx="224">
                  <c:v>161.67</c:v>
                </c:pt>
                <c:pt idx="225">
                  <c:v>161.84</c:v>
                </c:pt>
                <c:pt idx="226">
                  <c:v>162.48</c:v>
                </c:pt>
                <c:pt idx="227">
                  <c:v>163.68</c:v>
                </c:pt>
                <c:pt idx="228">
                  <c:v>165.09</c:v>
                </c:pt>
                <c:pt idx="229">
                  <c:v>167.59</c:v>
                </c:pt>
                <c:pt idx="230">
                  <c:v>170.36</c:v>
                </c:pt>
                <c:pt idx="231">
                  <c:v>174.99</c:v>
                </c:pt>
                <c:pt idx="232">
                  <c:v>182.53</c:v>
                </c:pt>
                <c:pt idx="233">
                  <c:v>186.85</c:v>
                </c:pt>
                <c:pt idx="234">
                  <c:v>190.93</c:v>
                </c:pt>
                <c:pt idx="235">
                  <c:v>191.55</c:v>
                </c:pt>
                <c:pt idx="236">
                  <c:v>190.63</c:v>
                </c:pt>
                <c:pt idx="237">
                  <c:v>188.92</c:v>
                </c:pt>
                <c:pt idx="238">
                  <c:v>186.6</c:v>
                </c:pt>
                <c:pt idx="239">
                  <c:v>182.77</c:v>
                </c:pt>
                <c:pt idx="240">
                  <c:v>177.64</c:v>
                </c:pt>
                <c:pt idx="241">
                  <c:v>174.19</c:v>
                </c:pt>
                <c:pt idx="242">
                  <c:v>171.14</c:v>
                </c:pt>
                <c:pt idx="243">
                  <c:v>170.12</c:v>
                </c:pt>
                <c:pt idx="244">
                  <c:v>168.93</c:v>
                </c:pt>
                <c:pt idx="245">
                  <c:v>167.61</c:v>
                </c:pt>
                <c:pt idx="246">
                  <c:v>165.47</c:v>
                </c:pt>
                <c:pt idx="247">
                  <c:v>164</c:v>
                </c:pt>
                <c:pt idx="248">
                  <c:v>162.67</c:v>
                </c:pt>
                <c:pt idx="249">
                  <c:v>162.09</c:v>
                </c:pt>
                <c:pt idx="250">
                  <c:v>162.81</c:v>
                </c:pt>
                <c:pt idx="251">
                  <c:v>164.62</c:v>
                </c:pt>
                <c:pt idx="252">
                  <c:v>165.87</c:v>
                </c:pt>
                <c:pt idx="253">
                  <c:v>165.62</c:v>
                </c:pt>
                <c:pt idx="254">
                  <c:v>164.4</c:v>
                </c:pt>
                <c:pt idx="255">
                  <c:v>163.28</c:v>
                </c:pt>
                <c:pt idx="256">
                  <c:v>161.13</c:v>
                </c:pt>
                <c:pt idx="257">
                  <c:v>159.2</c:v>
                </c:pt>
                <c:pt idx="258">
                  <c:v>155.97</c:v>
                </c:pt>
                <c:pt idx="259">
                  <c:v>154.07</c:v>
                </c:pt>
                <c:pt idx="260">
                  <c:v>151.94</c:v>
                </c:pt>
                <c:pt idx="261">
                  <c:v>150.9</c:v>
                </c:pt>
                <c:pt idx="262">
                  <c:v>149.97</c:v>
                </c:pt>
                <c:pt idx="263">
                  <c:v>148.79</c:v>
                </c:pt>
                <c:pt idx="264">
                  <c:v>148.21</c:v>
                </c:pt>
                <c:pt idx="265">
                  <c:v>148.18</c:v>
                </c:pt>
                <c:pt idx="266">
                  <c:v>148.34</c:v>
                </c:pt>
                <c:pt idx="267">
                  <c:v>147.98</c:v>
                </c:pt>
                <c:pt idx="268">
                  <c:v>147.86</c:v>
                </c:pt>
                <c:pt idx="269">
                  <c:v>147.55</c:v>
                </c:pt>
                <c:pt idx="270">
                  <c:v>147.12</c:v>
                </c:pt>
                <c:pt idx="271">
                  <c:v>146.97</c:v>
                </c:pt>
                <c:pt idx="272">
                  <c:v>146.62</c:v>
                </c:pt>
                <c:pt idx="273">
                  <c:v>146.21</c:v>
                </c:pt>
                <c:pt idx="274">
                  <c:v>145.72</c:v>
                </c:pt>
                <c:pt idx="275">
                  <c:v>145.82</c:v>
                </c:pt>
                <c:pt idx="276">
                  <c:v>145.93</c:v>
                </c:pt>
                <c:pt idx="277">
                  <c:v>145.84</c:v>
                </c:pt>
                <c:pt idx="278">
                  <c:v>145.71</c:v>
                </c:pt>
                <c:pt idx="279">
                  <c:v>145.3</c:v>
                </c:pt>
                <c:pt idx="280">
                  <c:v>144.65</c:v>
                </c:pt>
                <c:pt idx="281">
                  <c:v>143.64</c:v>
                </c:pt>
                <c:pt idx="282">
                  <c:v>142.94</c:v>
                </c:pt>
                <c:pt idx="283">
                  <c:v>142.9</c:v>
                </c:pt>
                <c:pt idx="284">
                  <c:v>142.71</c:v>
                </c:pt>
                <c:pt idx="285">
                  <c:v>142.95</c:v>
                </c:pt>
                <c:pt idx="286">
                  <c:v>143.43</c:v>
                </c:pt>
                <c:pt idx="287">
                  <c:v>143.4</c:v>
                </c:pt>
                <c:pt idx="288">
                  <c:v>142.87</c:v>
                </c:pt>
                <c:pt idx="289">
                  <c:v>142.77</c:v>
                </c:pt>
                <c:pt idx="290">
                  <c:v>142.96</c:v>
                </c:pt>
                <c:pt idx="291">
                  <c:v>144.13</c:v>
                </c:pt>
                <c:pt idx="292">
                  <c:v>146.18</c:v>
                </c:pt>
                <c:pt idx="293">
                  <c:v>147.77</c:v>
                </c:pt>
                <c:pt idx="294">
                  <c:v>149.4</c:v>
                </c:pt>
                <c:pt idx="295">
                  <c:v>150.73</c:v>
                </c:pt>
                <c:pt idx="296">
                  <c:v>151.71</c:v>
                </c:pt>
                <c:pt idx="297">
                  <c:v>153.1</c:v>
                </c:pt>
                <c:pt idx="298">
                  <c:v>154.06</c:v>
                </c:pt>
                <c:pt idx="299">
                  <c:v>155.41</c:v>
                </c:pt>
                <c:pt idx="300">
                  <c:v>156.02</c:v>
                </c:pt>
                <c:pt idx="301">
                  <c:v>155.94</c:v>
                </c:pt>
                <c:pt idx="302">
                  <c:v>155.09</c:v>
                </c:pt>
                <c:pt idx="303">
                  <c:v>154.63</c:v>
                </c:pt>
                <c:pt idx="304">
                  <c:v>153.97</c:v>
                </c:pt>
                <c:pt idx="305">
                  <c:v>153.2</c:v>
                </c:pt>
                <c:pt idx="306">
                  <c:v>152.39</c:v>
                </c:pt>
                <c:pt idx="307">
                  <c:v>150.5</c:v>
                </c:pt>
                <c:pt idx="308">
                  <c:v>147.99</c:v>
                </c:pt>
                <c:pt idx="309">
                  <c:v>145.71</c:v>
                </c:pt>
                <c:pt idx="310">
                  <c:v>143.8</c:v>
                </c:pt>
                <c:pt idx="311">
                  <c:v>141.51</c:v>
                </c:pt>
                <c:pt idx="312">
                  <c:v>140.33</c:v>
                </c:pt>
                <c:pt idx="313">
                  <c:v>140.78</c:v>
                </c:pt>
                <c:pt idx="314">
                  <c:v>139.72</c:v>
                </c:pt>
                <c:pt idx="315">
                  <c:v>139.49</c:v>
                </c:pt>
                <c:pt idx="316">
                  <c:v>139.39</c:v>
                </c:pt>
                <c:pt idx="317">
                  <c:v>139.91</c:v>
                </c:pt>
                <c:pt idx="318">
                  <c:v>140.55</c:v>
                </c:pt>
                <c:pt idx="319">
                  <c:v>141.28</c:v>
                </c:pt>
                <c:pt idx="320">
                  <c:v>142.86</c:v>
                </c:pt>
                <c:pt idx="321">
                  <c:v>143.96</c:v>
                </c:pt>
                <c:pt idx="322">
                  <c:v>144.73</c:v>
                </c:pt>
                <c:pt idx="323">
                  <c:v>144.7</c:v>
                </c:pt>
                <c:pt idx="324">
                  <c:v>144.73</c:v>
                </c:pt>
                <c:pt idx="325">
                  <c:v>145.06</c:v>
                </c:pt>
                <c:pt idx="326">
                  <c:v>146.25</c:v>
                </c:pt>
                <c:pt idx="327">
                  <c:v>146.91</c:v>
                </c:pt>
                <c:pt idx="328">
                  <c:v>148.49</c:v>
                </c:pt>
                <c:pt idx="329">
                  <c:v>149.21</c:v>
                </c:pt>
                <c:pt idx="330">
                  <c:v>149.49</c:v>
                </c:pt>
                <c:pt idx="331">
                  <c:v>149.54</c:v>
                </c:pt>
                <c:pt idx="332">
                  <c:v>149.23</c:v>
                </c:pt>
                <c:pt idx="333">
                  <c:v>148.83</c:v>
                </c:pt>
                <c:pt idx="334">
                  <c:v>147.65</c:v>
                </c:pt>
                <c:pt idx="335">
                  <c:v>147.27</c:v>
                </c:pt>
                <c:pt idx="336">
                  <c:v>146.25</c:v>
                </c:pt>
                <c:pt idx="337">
                  <c:v>145.09</c:v>
                </c:pt>
                <c:pt idx="338">
                  <c:v>144.43</c:v>
                </c:pt>
                <c:pt idx="339">
                  <c:v>144.28</c:v>
                </c:pt>
                <c:pt idx="340">
                  <c:v>144.45</c:v>
                </c:pt>
                <c:pt idx="341">
                  <c:v>144.6</c:v>
                </c:pt>
                <c:pt idx="342">
                  <c:v>144.69</c:v>
                </c:pt>
                <c:pt idx="343">
                  <c:v>144.19</c:v>
                </c:pt>
                <c:pt idx="344">
                  <c:v>143.42</c:v>
                </c:pt>
                <c:pt idx="345">
                  <c:v>142.91</c:v>
                </c:pt>
                <c:pt idx="346">
                  <c:v>141.96</c:v>
                </c:pt>
                <c:pt idx="347">
                  <c:v>141.01</c:v>
                </c:pt>
                <c:pt idx="348">
                  <c:v>139.96</c:v>
                </c:pt>
                <c:pt idx="349">
                  <c:v>138.1</c:v>
                </c:pt>
                <c:pt idx="350">
                  <c:v>136.49</c:v>
                </c:pt>
                <c:pt idx="351">
                  <c:v>135.26</c:v>
                </c:pt>
                <c:pt idx="352">
                  <c:v>134.17</c:v>
                </c:pt>
                <c:pt idx="353">
                  <c:v>133.59</c:v>
                </c:pt>
                <c:pt idx="354">
                  <c:v>133.86</c:v>
                </c:pt>
                <c:pt idx="355">
                  <c:v>133.99</c:v>
                </c:pt>
                <c:pt idx="356">
                  <c:v>134.41</c:v>
                </c:pt>
                <c:pt idx="357">
                  <c:v>134.41</c:v>
                </c:pt>
                <c:pt idx="358">
                  <c:v>134.59</c:v>
                </c:pt>
                <c:pt idx="359">
                  <c:v>134.85</c:v>
                </c:pt>
                <c:pt idx="360">
                  <c:v>135.37</c:v>
                </c:pt>
                <c:pt idx="361">
                  <c:v>135.93</c:v>
                </c:pt>
                <c:pt idx="362">
                  <c:v>136.23</c:v>
                </c:pt>
                <c:pt idx="363">
                  <c:v>136.39</c:v>
                </c:pt>
                <c:pt idx="364">
                  <c:v>136.39</c:v>
                </c:pt>
                <c:pt idx="365">
                  <c:v>136.49</c:v>
                </c:pt>
                <c:pt idx="366">
                  <c:v>136.6</c:v>
                </c:pt>
                <c:pt idx="367">
                  <c:v>136.51</c:v>
                </c:pt>
                <c:pt idx="368">
                  <c:v>136.97</c:v>
                </c:pt>
                <c:pt idx="369">
                  <c:v>138.36</c:v>
                </c:pt>
                <c:pt idx="370">
                  <c:v>138.74</c:v>
                </c:pt>
                <c:pt idx="371">
                  <c:v>139.02</c:v>
                </c:pt>
                <c:pt idx="372">
                  <c:v>139.22</c:v>
                </c:pt>
                <c:pt idx="373">
                  <c:v>139.62</c:v>
                </c:pt>
                <c:pt idx="374">
                  <c:v>139.61</c:v>
                </c:pt>
                <c:pt idx="375">
                  <c:v>139.42</c:v>
                </c:pt>
                <c:pt idx="376">
                  <c:v>137.97</c:v>
                </c:pt>
                <c:pt idx="377">
                  <c:v>135.61</c:v>
                </c:pt>
                <c:pt idx="378">
                  <c:v>134.91</c:v>
                </c:pt>
                <c:pt idx="379">
                  <c:v>135.25</c:v>
                </c:pt>
                <c:pt idx="380">
                  <c:v>134.85</c:v>
                </c:pt>
                <c:pt idx="381">
                  <c:v>134.26</c:v>
                </c:pt>
                <c:pt idx="382">
                  <c:v>133.84</c:v>
                </c:pt>
                <c:pt idx="383">
                  <c:v>133.18</c:v>
                </c:pt>
                <c:pt idx="384">
                  <c:v>132.32</c:v>
                </c:pt>
                <c:pt idx="385">
                  <c:v>132.07</c:v>
                </c:pt>
                <c:pt idx="386">
                  <c:v>131.99</c:v>
                </c:pt>
                <c:pt idx="387">
                  <c:v>131.45</c:v>
                </c:pt>
                <c:pt idx="388">
                  <c:v>131.35</c:v>
                </c:pt>
                <c:pt idx="389">
                  <c:v>131.39</c:v>
                </c:pt>
                <c:pt idx="390">
                  <c:v>132.33</c:v>
                </c:pt>
                <c:pt idx="391">
                  <c:v>132.95</c:v>
                </c:pt>
                <c:pt idx="392">
                  <c:v>133.19</c:v>
                </c:pt>
                <c:pt idx="393">
                  <c:v>133.95</c:v>
                </c:pt>
                <c:pt idx="394">
                  <c:v>134.09</c:v>
                </c:pt>
                <c:pt idx="395">
                  <c:v>134.24</c:v>
                </c:pt>
                <c:pt idx="396">
                  <c:v>134.3</c:v>
                </c:pt>
                <c:pt idx="397">
                  <c:v>134.39</c:v>
                </c:pt>
                <c:pt idx="398">
                  <c:v>134.3</c:v>
                </c:pt>
                <c:pt idx="399">
                  <c:v>133.91</c:v>
                </c:pt>
                <c:pt idx="400">
                  <c:v>133.86</c:v>
                </c:pt>
                <c:pt idx="401">
                  <c:v>133.72</c:v>
                </c:pt>
                <c:pt idx="402">
                  <c:v>133.81</c:v>
                </c:pt>
                <c:pt idx="403">
                  <c:v>134.15</c:v>
                </c:pt>
                <c:pt idx="404">
                  <c:v>134.36</c:v>
                </c:pt>
                <c:pt idx="405">
                  <c:v>134.76</c:v>
                </c:pt>
                <c:pt idx="406">
                  <c:v>134.81</c:v>
                </c:pt>
                <c:pt idx="407">
                  <c:v>134.69</c:v>
                </c:pt>
                <c:pt idx="408">
                  <c:v>134.4</c:v>
                </c:pt>
                <c:pt idx="409">
                  <c:v>134.38</c:v>
                </c:pt>
                <c:pt idx="410">
                  <c:v>134.65</c:v>
                </c:pt>
                <c:pt idx="411">
                  <c:v>135.07</c:v>
                </c:pt>
                <c:pt idx="412">
                  <c:v>136.07</c:v>
                </c:pt>
                <c:pt idx="413">
                  <c:v>136.61</c:v>
                </c:pt>
                <c:pt idx="414">
                  <c:v>136.68</c:v>
                </c:pt>
                <c:pt idx="415">
                  <c:v>136.83</c:v>
                </c:pt>
                <c:pt idx="416">
                  <c:v>136.23</c:v>
                </c:pt>
                <c:pt idx="417">
                  <c:v>135.34</c:v>
                </c:pt>
                <c:pt idx="418">
                  <c:v>134.9</c:v>
                </c:pt>
                <c:pt idx="419">
                  <c:v>133.43</c:v>
                </c:pt>
                <c:pt idx="420">
                  <c:v>132.64</c:v>
                </c:pt>
                <c:pt idx="421">
                  <c:v>132</c:v>
                </c:pt>
                <c:pt idx="422">
                  <c:v>131.62</c:v>
                </c:pt>
                <c:pt idx="423">
                  <c:v>131.46</c:v>
                </c:pt>
                <c:pt idx="424">
                  <c:v>131.6</c:v>
                </c:pt>
                <c:pt idx="425">
                  <c:v>131.71</c:v>
                </c:pt>
                <c:pt idx="426">
                  <c:v>132.14</c:v>
                </c:pt>
                <c:pt idx="427">
                  <c:v>135.67</c:v>
                </c:pt>
                <c:pt idx="428">
                  <c:v>140.28</c:v>
                </c:pt>
                <c:pt idx="429">
                  <c:v>144.16</c:v>
                </c:pt>
                <c:pt idx="430">
                  <c:v>148.78</c:v>
                </c:pt>
                <c:pt idx="431">
                  <c:v>154.65</c:v>
                </c:pt>
                <c:pt idx="432">
                  <c:v>158.17</c:v>
                </c:pt>
                <c:pt idx="433">
                  <c:v>157.62</c:v>
                </c:pt>
                <c:pt idx="434">
                  <c:v>156.99</c:v>
                </c:pt>
                <c:pt idx="435">
                  <c:v>156.82</c:v>
                </c:pt>
                <c:pt idx="436">
                  <c:v>156.81</c:v>
                </c:pt>
                <c:pt idx="437">
                  <c:v>157.39</c:v>
                </c:pt>
                <c:pt idx="438">
                  <c:v>158.78</c:v>
                </c:pt>
                <c:pt idx="439">
                  <c:v>158.74</c:v>
                </c:pt>
                <c:pt idx="440">
                  <c:v>157.95</c:v>
                </c:pt>
                <c:pt idx="441">
                  <c:v>155.54</c:v>
                </c:pt>
                <c:pt idx="442">
                  <c:v>153.26</c:v>
                </c:pt>
                <c:pt idx="443">
                  <c:v>151.02</c:v>
                </c:pt>
                <c:pt idx="444">
                  <c:v>149.8</c:v>
                </c:pt>
                <c:pt idx="445">
                  <c:v>150.53</c:v>
                </c:pt>
                <c:pt idx="446">
                  <c:v>152.29</c:v>
                </c:pt>
                <c:pt idx="447">
                  <c:v>156.13</c:v>
                </c:pt>
                <c:pt idx="448">
                  <c:v>159.89</c:v>
                </c:pt>
                <c:pt idx="449">
                  <c:v>162.15</c:v>
                </c:pt>
                <c:pt idx="450">
                  <c:v>161.8</c:v>
                </c:pt>
                <c:pt idx="451">
                  <c:v>161.63</c:v>
                </c:pt>
                <c:pt idx="452">
                  <c:v>161.61</c:v>
                </c:pt>
                <c:pt idx="453">
                  <c:v>164.4</c:v>
                </c:pt>
                <c:pt idx="454">
                  <c:v>168.14</c:v>
                </c:pt>
                <c:pt idx="455">
                  <c:v>172.01</c:v>
                </c:pt>
                <c:pt idx="456">
                  <c:v>173.46</c:v>
                </c:pt>
              </c:numCache>
            </c:numRef>
          </c:val>
          <c:smooth val="0"/>
        </c:ser>
        <c:ser>
          <c:idx val="1"/>
          <c:order val="1"/>
          <c:tx>
            <c:strRef>
              <c:f>Weekly_Data!$C$1</c:f>
              <c:strCache>
                <c:ptCount val="1"/>
                <c:pt idx="0">
                  <c:v>Diesel (ULSD) pump price
(p/litre)</c:v>
                </c:pt>
              </c:strCache>
            </c:strRef>
          </c:tx>
          <c:spPr>
            <a:solidFill>
              <a:srgbClr val="be4b48"/>
            </a:solidFill>
            <a:ln w="1512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Weekly_Data!$A$2:$A$458</c:f>
              <c:numCache>
                <c:formatCode>mmm\-yy</c:formatCode>
                <c:ptCount val="457"/>
                <c:pt idx="0">
                  <c:v>1/1/2018</c:v>
                </c:pt>
                <c:pt idx="1">
                  <c:v>1/8/2018</c:v>
                </c:pt>
                <c:pt idx="2">
                  <c:v>1/15/2018</c:v>
                </c:pt>
                <c:pt idx="3">
                  <c:v>1/22/2018</c:v>
                </c:pt>
                <c:pt idx="4">
                  <c:v>1/29/2018</c:v>
                </c:pt>
                <c:pt idx="5">
                  <c:v>2/5/2018</c:v>
                </c:pt>
                <c:pt idx="6">
                  <c:v>2/12/2018</c:v>
                </c:pt>
                <c:pt idx="7">
                  <c:v>2/19/2018</c:v>
                </c:pt>
                <c:pt idx="8">
                  <c:v>2/26/2018</c:v>
                </c:pt>
                <c:pt idx="9">
                  <c:v>3/5/2018</c:v>
                </c:pt>
                <c:pt idx="10">
                  <c:v>3/12/2018</c:v>
                </c:pt>
                <c:pt idx="11">
                  <c:v>3/19/2018</c:v>
                </c:pt>
                <c:pt idx="12">
                  <c:v>3/26/2018</c:v>
                </c:pt>
                <c:pt idx="13">
                  <c:v>4/2/2018</c:v>
                </c:pt>
                <c:pt idx="14">
                  <c:v>4/9/2018</c:v>
                </c:pt>
                <c:pt idx="15">
                  <c:v>4/16/2018</c:v>
                </c:pt>
                <c:pt idx="16">
                  <c:v>4/23/2018</c:v>
                </c:pt>
                <c:pt idx="17">
                  <c:v>4/30/2018</c:v>
                </c:pt>
                <c:pt idx="18">
                  <c:v>5/7/2018</c:v>
                </c:pt>
                <c:pt idx="19">
                  <c:v>5/14/2018</c:v>
                </c:pt>
                <c:pt idx="20">
                  <c:v>5/21/2018</c:v>
                </c:pt>
                <c:pt idx="21">
                  <c:v>5/28/2018</c:v>
                </c:pt>
                <c:pt idx="22">
                  <c:v>6/4/2018</c:v>
                </c:pt>
                <c:pt idx="23">
                  <c:v>6/11/2018</c:v>
                </c:pt>
                <c:pt idx="24">
                  <c:v>6/18/2018</c:v>
                </c:pt>
                <c:pt idx="25">
                  <c:v>6/25/2018</c:v>
                </c:pt>
                <c:pt idx="26">
                  <c:v>7/2/2018</c:v>
                </c:pt>
                <c:pt idx="27">
                  <c:v>7/9/2018</c:v>
                </c:pt>
                <c:pt idx="28">
                  <c:v>7/16/2018</c:v>
                </c:pt>
                <c:pt idx="29">
                  <c:v>7/23/2018</c:v>
                </c:pt>
                <c:pt idx="30">
                  <c:v>7/30/2018</c:v>
                </c:pt>
                <c:pt idx="31">
                  <c:v>8/6/2018</c:v>
                </c:pt>
                <c:pt idx="32">
                  <c:v>8/13/2018</c:v>
                </c:pt>
                <c:pt idx="33">
                  <c:v>8/20/2018</c:v>
                </c:pt>
                <c:pt idx="34">
                  <c:v>8/27/2018</c:v>
                </c:pt>
                <c:pt idx="35">
                  <c:v>9/3/2018</c:v>
                </c:pt>
                <c:pt idx="36">
                  <c:v>9/10/2018</c:v>
                </c:pt>
                <c:pt idx="37">
                  <c:v>9/17/2018</c:v>
                </c:pt>
                <c:pt idx="38">
                  <c:v>9/24/2018</c:v>
                </c:pt>
                <c:pt idx="39">
                  <c:v>10/1/2018</c:v>
                </c:pt>
                <c:pt idx="40">
                  <c:v>10/8/2018</c:v>
                </c:pt>
                <c:pt idx="41">
                  <c:v>10/15/2018</c:v>
                </c:pt>
                <c:pt idx="42">
                  <c:v>10/22/2018</c:v>
                </c:pt>
                <c:pt idx="43">
                  <c:v>10/29/2018</c:v>
                </c:pt>
                <c:pt idx="44">
                  <c:v>11/5/2018</c:v>
                </c:pt>
                <c:pt idx="45">
                  <c:v>11/12/2018</c:v>
                </c:pt>
                <c:pt idx="46">
                  <c:v>11/19/2018</c:v>
                </c:pt>
                <c:pt idx="47">
                  <c:v>11/26/2018</c:v>
                </c:pt>
                <c:pt idx="48">
                  <c:v>12/3/2018</c:v>
                </c:pt>
                <c:pt idx="49">
                  <c:v>12/10/2018</c:v>
                </c:pt>
                <c:pt idx="50">
                  <c:v>12/17/2018</c:v>
                </c:pt>
                <c:pt idx="51">
                  <c:v>12/24/2018</c:v>
                </c:pt>
                <c:pt idx="52">
                  <c:v>12/31/2018</c:v>
                </c:pt>
                <c:pt idx="53">
                  <c:v>1/7/2019</c:v>
                </c:pt>
                <c:pt idx="54">
                  <c:v>1/14/2019</c:v>
                </c:pt>
                <c:pt idx="55">
                  <c:v>1/21/2019</c:v>
                </c:pt>
                <c:pt idx="56">
                  <c:v>1/28/2019</c:v>
                </c:pt>
                <c:pt idx="57">
                  <c:v>2/4/2019</c:v>
                </c:pt>
                <c:pt idx="58">
                  <c:v>2/11/2019</c:v>
                </c:pt>
                <c:pt idx="59">
                  <c:v>2/18/2019</c:v>
                </c:pt>
                <c:pt idx="60">
                  <c:v>2/25/2019</c:v>
                </c:pt>
                <c:pt idx="61">
                  <c:v>3/4/2019</c:v>
                </c:pt>
                <c:pt idx="62">
                  <c:v>3/11/2019</c:v>
                </c:pt>
                <c:pt idx="63">
                  <c:v>3/18/2019</c:v>
                </c:pt>
                <c:pt idx="64">
                  <c:v>3/25/2019</c:v>
                </c:pt>
                <c:pt idx="65">
                  <c:v>4/1/2019</c:v>
                </c:pt>
                <c:pt idx="66">
                  <c:v>4/8/2019</c:v>
                </c:pt>
                <c:pt idx="67">
                  <c:v>4/15/2019</c:v>
                </c:pt>
                <c:pt idx="68">
                  <c:v>4/22/2019</c:v>
                </c:pt>
                <c:pt idx="69">
                  <c:v>4/29/2019</c:v>
                </c:pt>
                <c:pt idx="70">
                  <c:v>5/6/2019</c:v>
                </c:pt>
                <c:pt idx="71">
                  <c:v>5/13/2019</c:v>
                </c:pt>
                <c:pt idx="72">
                  <c:v>5/20/2019</c:v>
                </c:pt>
                <c:pt idx="73">
                  <c:v>5/27/2019</c:v>
                </c:pt>
                <c:pt idx="74">
                  <c:v>6/3/2019</c:v>
                </c:pt>
                <c:pt idx="75">
                  <c:v>6/10/2019</c:v>
                </c:pt>
                <c:pt idx="76">
                  <c:v>6/17/2019</c:v>
                </c:pt>
                <c:pt idx="77">
                  <c:v>6/24/2019</c:v>
                </c:pt>
                <c:pt idx="78">
                  <c:v>7/1/2019</c:v>
                </c:pt>
                <c:pt idx="79">
                  <c:v>7/8/2019</c:v>
                </c:pt>
                <c:pt idx="80">
                  <c:v>7/15/2019</c:v>
                </c:pt>
                <c:pt idx="81">
                  <c:v>7/22/2019</c:v>
                </c:pt>
                <c:pt idx="82">
                  <c:v>7/29/2019</c:v>
                </c:pt>
                <c:pt idx="83">
                  <c:v>8/5/2019</c:v>
                </c:pt>
                <c:pt idx="84">
                  <c:v>8/12/2019</c:v>
                </c:pt>
                <c:pt idx="85">
                  <c:v>8/19/2019</c:v>
                </c:pt>
                <c:pt idx="86">
                  <c:v>8/26/2019</c:v>
                </c:pt>
                <c:pt idx="87">
                  <c:v>9/2/2019</c:v>
                </c:pt>
                <c:pt idx="88">
                  <c:v>9/9/2019</c:v>
                </c:pt>
                <c:pt idx="89">
                  <c:v>9/16/2019</c:v>
                </c:pt>
                <c:pt idx="90">
                  <c:v>9/23/2019</c:v>
                </c:pt>
                <c:pt idx="91">
                  <c:v>9/30/2019</c:v>
                </c:pt>
                <c:pt idx="92">
                  <c:v>10/7/2019</c:v>
                </c:pt>
                <c:pt idx="93">
                  <c:v>10/14/2019</c:v>
                </c:pt>
                <c:pt idx="94">
                  <c:v>10/21/2019</c:v>
                </c:pt>
                <c:pt idx="95">
                  <c:v>10/28/2019</c:v>
                </c:pt>
                <c:pt idx="96">
                  <c:v>11/4/2019</c:v>
                </c:pt>
                <c:pt idx="97">
                  <c:v>11/11/2019</c:v>
                </c:pt>
                <c:pt idx="98">
                  <c:v>11/18/2019</c:v>
                </c:pt>
                <c:pt idx="99">
                  <c:v>11/25/2019</c:v>
                </c:pt>
                <c:pt idx="100">
                  <c:v>12/2/2019</c:v>
                </c:pt>
                <c:pt idx="101">
                  <c:v>12/9/2019</c:v>
                </c:pt>
                <c:pt idx="102">
                  <c:v>12/16/2019</c:v>
                </c:pt>
                <c:pt idx="103">
                  <c:v>12/23/2019</c:v>
                </c:pt>
                <c:pt idx="104">
                  <c:v>12/30/2019</c:v>
                </c:pt>
                <c:pt idx="105">
                  <c:v>1/6/2020</c:v>
                </c:pt>
                <c:pt idx="106">
                  <c:v>1/13/2020</c:v>
                </c:pt>
                <c:pt idx="107">
                  <c:v>1/20/2020</c:v>
                </c:pt>
                <c:pt idx="108">
                  <c:v>1/27/2020</c:v>
                </c:pt>
                <c:pt idx="109">
                  <c:v>2/3/2020</c:v>
                </c:pt>
                <c:pt idx="110">
                  <c:v>2/10/2020</c:v>
                </c:pt>
                <c:pt idx="111">
                  <c:v>2/17/2020</c:v>
                </c:pt>
                <c:pt idx="112">
                  <c:v>2/24/2020</c:v>
                </c:pt>
                <c:pt idx="113">
                  <c:v>3/2/2020</c:v>
                </c:pt>
                <c:pt idx="114">
                  <c:v>3/9/2020</c:v>
                </c:pt>
                <c:pt idx="115">
                  <c:v>3/16/2020</c:v>
                </c:pt>
                <c:pt idx="116">
                  <c:v>3/23/2020</c:v>
                </c:pt>
                <c:pt idx="117">
                  <c:v>3/30/2020</c:v>
                </c:pt>
                <c:pt idx="118">
                  <c:v>4/6/2020</c:v>
                </c:pt>
                <c:pt idx="119">
                  <c:v>4/13/2020</c:v>
                </c:pt>
                <c:pt idx="120">
                  <c:v>4/20/2020</c:v>
                </c:pt>
                <c:pt idx="121">
                  <c:v>4/27/2020</c:v>
                </c:pt>
                <c:pt idx="122">
                  <c:v>5/4/2020</c:v>
                </c:pt>
                <c:pt idx="123">
                  <c:v>5/11/2020</c:v>
                </c:pt>
                <c:pt idx="124">
                  <c:v>5/18/2020</c:v>
                </c:pt>
                <c:pt idx="125">
                  <c:v>5/25/2020</c:v>
                </c:pt>
                <c:pt idx="126">
                  <c:v>6/1/2020</c:v>
                </c:pt>
                <c:pt idx="127">
                  <c:v>6/8/2020</c:v>
                </c:pt>
                <c:pt idx="128">
                  <c:v>6/15/2020</c:v>
                </c:pt>
                <c:pt idx="129">
                  <c:v>6/22/2020</c:v>
                </c:pt>
                <c:pt idx="130">
                  <c:v>6/29/2020</c:v>
                </c:pt>
                <c:pt idx="131">
                  <c:v>7/6/2020</c:v>
                </c:pt>
                <c:pt idx="132">
                  <c:v>7/13/2020</c:v>
                </c:pt>
                <c:pt idx="133">
                  <c:v>7/20/2020</c:v>
                </c:pt>
                <c:pt idx="134">
                  <c:v>7/27/2020</c:v>
                </c:pt>
                <c:pt idx="135">
                  <c:v>8/3/2020</c:v>
                </c:pt>
                <c:pt idx="136">
                  <c:v>8/10/2020</c:v>
                </c:pt>
                <c:pt idx="137">
                  <c:v>8/17/2020</c:v>
                </c:pt>
                <c:pt idx="138">
                  <c:v>8/24/2020</c:v>
                </c:pt>
                <c:pt idx="139">
                  <c:v>8/31/2020</c:v>
                </c:pt>
                <c:pt idx="140">
                  <c:v>9/7/2020</c:v>
                </c:pt>
                <c:pt idx="141">
                  <c:v>9/14/2020</c:v>
                </c:pt>
                <c:pt idx="142">
                  <c:v>9/21/2020</c:v>
                </c:pt>
                <c:pt idx="143">
                  <c:v>9/28/2020</c:v>
                </c:pt>
                <c:pt idx="144">
                  <c:v>10/5/2020</c:v>
                </c:pt>
                <c:pt idx="145">
                  <c:v>10/12/2020</c:v>
                </c:pt>
                <c:pt idx="146">
                  <c:v>10/19/2020</c:v>
                </c:pt>
                <c:pt idx="147">
                  <c:v>10/26/2020</c:v>
                </c:pt>
                <c:pt idx="148">
                  <c:v>11/2/2020</c:v>
                </c:pt>
                <c:pt idx="149">
                  <c:v>11/9/2020</c:v>
                </c:pt>
                <c:pt idx="150">
                  <c:v>11/16/2020</c:v>
                </c:pt>
                <c:pt idx="151">
                  <c:v>11/23/2020</c:v>
                </c:pt>
                <c:pt idx="152">
                  <c:v>11/30/2020</c:v>
                </c:pt>
                <c:pt idx="153">
                  <c:v>12/7/2020</c:v>
                </c:pt>
                <c:pt idx="154">
                  <c:v>12/14/2020</c:v>
                </c:pt>
                <c:pt idx="155">
                  <c:v>12/21/2020</c:v>
                </c:pt>
                <c:pt idx="156">
                  <c:v>12/28/2020</c:v>
                </c:pt>
                <c:pt idx="157">
                  <c:v>1/4/2021</c:v>
                </c:pt>
                <c:pt idx="158">
                  <c:v>1/11/2021</c:v>
                </c:pt>
                <c:pt idx="159">
                  <c:v>1/18/2021</c:v>
                </c:pt>
                <c:pt idx="160">
                  <c:v>1/25/2021</c:v>
                </c:pt>
                <c:pt idx="161">
                  <c:v>2/1/2021</c:v>
                </c:pt>
                <c:pt idx="162">
                  <c:v>2/8/2021</c:v>
                </c:pt>
                <c:pt idx="163">
                  <c:v>2/15/2021</c:v>
                </c:pt>
                <c:pt idx="164">
                  <c:v>2/22/2021</c:v>
                </c:pt>
                <c:pt idx="165">
                  <c:v>3/1/2021</c:v>
                </c:pt>
                <c:pt idx="166">
                  <c:v>3/8/2021</c:v>
                </c:pt>
                <c:pt idx="167">
                  <c:v>3/15/2021</c:v>
                </c:pt>
                <c:pt idx="168">
                  <c:v>3/22/2021</c:v>
                </c:pt>
                <c:pt idx="169">
                  <c:v>3/29/2021</c:v>
                </c:pt>
                <c:pt idx="170">
                  <c:v>4/5/2021</c:v>
                </c:pt>
                <c:pt idx="171">
                  <c:v>4/12/2021</c:v>
                </c:pt>
                <c:pt idx="172">
                  <c:v>4/19/2021</c:v>
                </c:pt>
                <c:pt idx="173">
                  <c:v>4/26/2021</c:v>
                </c:pt>
                <c:pt idx="174">
                  <c:v>5/3/2021</c:v>
                </c:pt>
                <c:pt idx="175">
                  <c:v>5/10/2021</c:v>
                </c:pt>
                <c:pt idx="176">
                  <c:v>5/17/2021</c:v>
                </c:pt>
                <c:pt idx="177">
                  <c:v>5/24/2021</c:v>
                </c:pt>
                <c:pt idx="178">
                  <c:v>5/31/2021</c:v>
                </c:pt>
                <c:pt idx="179">
                  <c:v>6/7/2021</c:v>
                </c:pt>
                <c:pt idx="180">
                  <c:v>6/14/2021</c:v>
                </c:pt>
                <c:pt idx="181">
                  <c:v>6/21/2021</c:v>
                </c:pt>
                <c:pt idx="182">
                  <c:v>6/28/2021</c:v>
                </c:pt>
                <c:pt idx="183">
                  <c:v>7/5/2021</c:v>
                </c:pt>
                <c:pt idx="184">
                  <c:v>7/12/2021</c:v>
                </c:pt>
                <c:pt idx="185">
                  <c:v>7/19/2021</c:v>
                </c:pt>
                <c:pt idx="186">
                  <c:v>7/26/2021</c:v>
                </c:pt>
                <c:pt idx="187">
                  <c:v>8/2/2021</c:v>
                </c:pt>
                <c:pt idx="188">
                  <c:v>8/9/2021</c:v>
                </c:pt>
                <c:pt idx="189">
                  <c:v>8/16/2021</c:v>
                </c:pt>
                <c:pt idx="190">
                  <c:v>8/23/2021</c:v>
                </c:pt>
                <c:pt idx="191">
                  <c:v>8/30/2021</c:v>
                </c:pt>
                <c:pt idx="192">
                  <c:v>9/6/2021</c:v>
                </c:pt>
                <c:pt idx="193">
                  <c:v>9/13/2021</c:v>
                </c:pt>
                <c:pt idx="194">
                  <c:v>9/20/2021</c:v>
                </c:pt>
                <c:pt idx="195">
                  <c:v>9/27/2021</c:v>
                </c:pt>
                <c:pt idx="196">
                  <c:v>10/4/2021</c:v>
                </c:pt>
                <c:pt idx="197">
                  <c:v>10/11/2021</c:v>
                </c:pt>
                <c:pt idx="198">
                  <c:v>10/18/2021</c:v>
                </c:pt>
                <c:pt idx="199">
                  <c:v>10/25/2021</c:v>
                </c:pt>
                <c:pt idx="200">
                  <c:v>11/1/2021</c:v>
                </c:pt>
                <c:pt idx="201">
                  <c:v>11/8/2021</c:v>
                </c:pt>
                <c:pt idx="202">
                  <c:v>11/15/2021</c:v>
                </c:pt>
                <c:pt idx="203">
                  <c:v>11/22/2021</c:v>
                </c:pt>
                <c:pt idx="204">
                  <c:v>11/29/2021</c:v>
                </c:pt>
                <c:pt idx="205">
                  <c:v>12/6/2021</c:v>
                </c:pt>
                <c:pt idx="206">
                  <c:v>12/13/2021</c:v>
                </c:pt>
                <c:pt idx="207">
                  <c:v>12/20/2021</c:v>
                </c:pt>
                <c:pt idx="208">
                  <c:v>12/27/2021</c:v>
                </c:pt>
                <c:pt idx="209">
                  <c:v>1/3/2022</c:v>
                </c:pt>
                <c:pt idx="210">
                  <c:v>1/10/2022</c:v>
                </c:pt>
                <c:pt idx="211">
                  <c:v>1/17/2022</c:v>
                </c:pt>
                <c:pt idx="212">
                  <c:v>1/24/2022</c:v>
                </c:pt>
                <c:pt idx="213">
                  <c:v>1/31/2022</c:v>
                </c:pt>
                <c:pt idx="214">
                  <c:v>2/7/2022</c:v>
                </c:pt>
                <c:pt idx="215">
                  <c:v>2/14/2022</c:v>
                </c:pt>
                <c:pt idx="216">
                  <c:v>2/21/2022</c:v>
                </c:pt>
                <c:pt idx="217">
                  <c:v>2/28/2022</c:v>
                </c:pt>
                <c:pt idx="218">
                  <c:v>3/7/2022</c:v>
                </c:pt>
                <c:pt idx="219">
                  <c:v>3/14/2022</c:v>
                </c:pt>
                <c:pt idx="220">
                  <c:v>3/21/2022</c:v>
                </c:pt>
                <c:pt idx="221">
                  <c:v>3/28/2022</c:v>
                </c:pt>
                <c:pt idx="222">
                  <c:v>4/4/2022</c:v>
                </c:pt>
                <c:pt idx="223">
                  <c:v>4/11/2022</c:v>
                </c:pt>
                <c:pt idx="224">
                  <c:v>4/18/2022</c:v>
                </c:pt>
                <c:pt idx="225">
                  <c:v>4/25/2022</c:v>
                </c:pt>
                <c:pt idx="226">
                  <c:v>5/2/2022</c:v>
                </c:pt>
                <c:pt idx="227">
                  <c:v>5/9/2022</c:v>
                </c:pt>
                <c:pt idx="228">
                  <c:v>5/16/2022</c:v>
                </c:pt>
                <c:pt idx="229">
                  <c:v>5/23/2022</c:v>
                </c:pt>
                <c:pt idx="230">
                  <c:v>5/30/2022</c:v>
                </c:pt>
                <c:pt idx="231">
                  <c:v>6/6/2022</c:v>
                </c:pt>
                <c:pt idx="232">
                  <c:v>6/13/2022</c:v>
                </c:pt>
                <c:pt idx="233">
                  <c:v>6/20/2022</c:v>
                </c:pt>
                <c:pt idx="234">
                  <c:v>6/27/2022</c:v>
                </c:pt>
                <c:pt idx="235">
                  <c:v>7/4/2022</c:v>
                </c:pt>
                <c:pt idx="236">
                  <c:v>7/11/2022</c:v>
                </c:pt>
                <c:pt idx="237">
                  <c:v>7/18/2022</c:v>
                </c:pt>
                <c:pt idx="238">
                  <c:v>7/25/2022</c:v>
                </c:pt>
                <c:pt idx="239">
                  <c:v>8/1/2022</c:v>
                </c:pt>
                <c:pt idx="240">
                  <c:v>8/8/2022</c:v>
                </c:pt>
                <c:pt idx="241">
                  <c:v>8/15/2022</c:v>
                </c:pt>
                <c:pt idx="242">
                  <c:v>8/22/2022</c:v>
                </c:pt>
                <c:pt idx="243">
                  <c:v>8/29/2022</c:v>
                </c:pt>
                <c:pt idx="244">
                  <c:v>9/5/2022</c:v>
                </c:pt>
                <c:pt idx="245">
                  <c:v>9/12/2022</c:v>
                </c:pt>
                <c:pt idx="246">
                  <c:v>9/19/2022</c:v>
                </c:pt>
                <c:pt idx="247">
                  <c:v>9/26/2022</c:v>
                </c:pt>
                <c:pt idx="248">
                  <c:v>10/3/2022</c:v>
                </c:pt>
                <c:pt idx="249">
                  <c:v>10/10/2022</c:v>
                </c:pt>
                <c:pt idx="250">
                  <c:v>10/17/2022</c:v>
                </c:pt>
                <c:pt idx="251">
                  <c:v>10/24/2022</c:v>
                </c:pt>
                <c:pt idx="252">
                  <c:v>10/31/2022</c:v>
                </c:pt>
                <c:pt idx="253">
                  <c:v>11/7/2022</c:v>
                </c:pt>
                <c:pt idx="254">
                  <c:v>11/14/2022</c:v>
                </c:pt>
                <c:pt idx="255">
                  <c:v>11/21/2022</c:v>
                </c:pt>
                <c:pt idx="256">
                  <c:v>11/28/2022</c:v>
                </c:pt>
                <c:pt idx="257">
                  <c:v>12/5/2022</c:v>
                </c:pt>
                <c:pt idx="258">
                  <c:v>12/12/2022</c:v>
                </c:pt>
                <c:pt idx="259">
                  <c:v>12/19/2022</c:v>
                </c:pt>
                <c:pt idx="260">
                  <c:v>12/26/2022</c:v>
                </c:pt>
                <c:pt idx="261">
                  <c:v>1/2/2023</c:v>
                </c:pt>
                <c:pt idx="262">
                  <c:v>1/9/2023</c:v>
                </c:pt>
                <c:pt idx="263">
                  <c:v>1/16/2023</c:v>
                </c:pt>
                <c:pt idx="264">
                  <c:v>1/23/2023</c:v>
                </c:pt>
                <c:pt idx="265">
                  <c:v>1/30/2023</c:v>
                </c:pt>
                <c:pt idx="266">
                  <c:v>2/6/2023</c:v>
                </c:pt>
                <c:pt idx="267">
                  <c:v>2/13/2023</c:v>
                </c:pt>
                <c:pt idx="268">
                  <c:v>2/20/2023</c:v>
                </c:pt>
                <c:pt idx="269">
                  <c:v>2/27/2023</c:v>
                </c:pt>
                <c:pt idx="270">
                  <c:v>3/6/2023</c:v>
                </c:pt>
                <c:pt idx="271">
                  <c:v>3/13/2023</c:v>
                </c:pt>
                <c:pt idx="272">
                  <c:v>3/20/2023</c:v>
                </c:pt>
                <c:pt idx="273">
                  <c:v>3/27/2023</c:v>
                </c:pt>
                <c:pt idx="274">
                  <c:v>4/3/2023</c:v>
                </c:pt>
                <c:pt idx="275">
                  <c:v>4/10/2023</c:v>
                </c:pt>
                <c:pt idx="276">
                  <c:v>4/17/2023</c:v>
                </c:pt>
                <c:pt idx="277">
                  <c:v>4/24/2023</c:v>
                </c:pt>
                <c:pt idx="278">
                  <c:v>5/1/2023</c:v>
                </c:pt>
                <c:pt idx="279">
                  <c:v>5/8/2023</c:v>
                </c:pt>
                <c:pt idx="280">
                  <c:v>5/15/2023</c:v>
                </c:pt>
                <c:pt idx="281">
                  <c:v>5/22/2023</c:v>
                </c:pt>
                <c:pt idx="282">
                  <c:v>5/29/2023</c:v>
                </c:pt>
                <c:pt idx="283">
                  <c:v>6/5/2023</c:v>
                </c:pt>
                <c:pt idx="284">
                  <c:v>6/12/2023</c:v>
                </c:pt>
                <c:pt idx="285">
                  <c:v>6/19/2023</c:v>
                </c:pt>
                <c:pt idx="286">
                  <c:v>6/26/2023</c:v>
                </c:pt>
                <c:pt idx="287">
                  <c:v>7/3/2023</c:v>
                </c:pt>
                <c:pt idx="288">
                  <c:v>7/10/2023</c:v>
                </c:pt>
                <c:pt idx="289">
                  <c:v>7/17/2023</c:v>
                </c:pt>
                <c:pt idx="290">
                  <c:v>7/24/2023</c:v>
                </c:pt>
                <c:pt idx="291">
                  <c:v>7/31/2023</c:v>
                </c:pt>
                <c:pt idx="292">
                  <c:v>8/7/2023</c:v>
                </c:pt>
                <c:pt idx="293">
                  <c:v>8/14/2023</c:v>
                </c:pt>
                <c:pt idx="294">
                  <c:v>8/21/2023</c:v>
                </c:pt>
                <c:pt idx="295">
                  <c:v>8/28/2023</c:v>
                </c:pt>
                <c:pt idx="296">
                  <c:v>9/4/2023</c:v>
                </c:pt>
                <c:pt idx="297">
                  <c:v>9/11/2023</c:v>
                </c:pt>
                <c:pt idx="298">
                  <c:v>9/18/2023</c:v>
                </c:pt>
                <c:pt idx="299">
                  <c:v>9/25/2023</c:v>
                </c:pt>
                <c:pt idx="300">
                  <c:v>10/2/2023</c:v>
                </c:pt>
                <c:pt idx="301">
                  <c:v>10/9/2023</c:v>
                </c:pt>
                <c:pt idx="302">
                  <c:v>10/16/2023</c:v>
                </c:pt>
                <c:pt idx="303">
                  <c:v>10/23/2023</c:v>
                </c:pt>
                <c:pt idx="304">
                  <c:v>10/30/2023</c:v>
                </c:pt>
                <c:pt idx="305">
                  <c:v>11/6/2023</c:v>
                </c:pt>
                <c:pt idx="306">
                  <c:v>11/13/2023</c:v>
                </c:pt>
                <c:pt idx="307">
                  <c:v>11/20/2023</c:v>
                </c:pt>
                <c:pt idx="308">
                  <c:v>11/27/2023</c:v>
                </c:pt>
                <c:pt idx="309">
                  <c:v>12/4/2023</c:v>
                </c:pt>
                <c:pt idx="310">
                  <c:v>12/11/2023</c:v>
                </c:pt>
                <c:pt idx="311">
                  <c:v>12/18/2023</c:v>
                </c:pt>
                <c:pt idx="312">
                  <c:v>12/25/2023</c:v>
                </c:pt>
                <c:pt idx="313">
                  <c:v>1/1/2024</c:v>
                </c:pt>
                <c:pt idx="314">
                  <c:v>1/8/2024</c:v>
                </c:pt>
                <c:pt idx="315">
                  <c:v>1/15/2024</c:v>
                </c:pt>
                <c:pt idx="316">
                  <c:v>1/22/2024</c:v>
                </c:pt>
                <c:pt idx="317">
                  <c:v>1/29/2024</c:v>
                </c:pt>
                <c:pt idx="318">
                  <c:v>2/5/2024</c:v>
                </c:pt>
                <c:pt idx="319">
                  <c:v>2/12/2024</c:v>
                </c:pt>
                <c:pt idx="320">
                  <c:v>2/19/2024</c:v>
                </c:pt>
                <c:pt idx="321">
                  <c:v>2/26/2024</c:v>
                </c:pt>
                <c:pt idx="322">
                  <c:v>3/4/2024</c:v>
                </c:pt>
                <c:pt idx="323">
                  <c:v>3/11/2024</c:v>
                </c:pt>
                <c:pt idx="324">
                  <c:v>3/18/2024</c:v>
                </c:pt>
                <c:pt idx="325">
                  <c:v>3/25/2024</c:v>
                </c:pt>
                <c:pt idx="326">
                  <c:v>4/1/2024</c:v>
                </c:pt>
                <c:pt idx="327">
                  <c:v>4/8/2024</c:v>
                </c:pt>
                <c:pt idx="328">
                  <c:v>4/15/2024</c:v>
                </c:pt>
                <c:pt idx="329">
                  <c:v>4/22/2024</c:v>
                </c:pt>
                <c:pt idx="330">
                  <c:v>4/29/2024</c:v>
                </c:pt>
                <c:pt idx="331">
                  <c:v>5/6/2024</c:v>
                </c:pt>
                <c:pt idx="332">
                  <c:v>5/13/2024</c:v>
                </c:pt>
                <c:pt idx="333">
                  <c:v>5/20/2024</c:v>
                </c:pt>
                <c:pt idx="334">
                  <c:v>5/27/2024</c:v>
                </c:pt>
                <c:pt idx="335">
                  <c:v>6/3/2024</c:v>
                </c:pt>
                <c:pt idx="336">
                  <c:v>6/10/2024</c:v>
                </c:pt>
                <c:pt idx="337">
                  <c:v>6/17/2024</c:v>
                </c:pt>
                <c:pt idx="338">
                  <c:v>6/24/2024</c:v>
                </c:pt>
                <c:pt idx="339">
                  <c:v>7/1/2024</c:v>
                </c:pt>
                <c:pt idx="340">
                  <c:v>7/8/2024</c:v>
                </c:pt>
                <c:pt idx="341">
                  <c:v>7/15/2024</c:v>
                </c:pt>
                <c:pt idx="342">
                  <c:v>7/22/2024</c:v>
                </c:pt>
                <c:pt idx="343">
                  <c:v>7/29/2024</c:v>
                </c:pt>
                <c:pt idx="344">
                  <c:v>8/5/2024</c:v>
                </c:pt>
                <c:pt idx="345">
                  <c:v>8/12/2024</c:v>
                </c:pt>
                <c:pt idx="346">
                  <c:v>8/19/2024</c:v>
                </c:pt>
                <c:pt idx="347">
                  <c:v>8/26/2024</c:v>
                </c:pt>
                <c:pt idx="348">
                  <c:v>9/2/2024</c:v>
                </c:pt>
                <c:pt idx="349">
                  <c:v>9/9/2024</c:v>
                </c:pt>
                <c:pt idx="350">
                  <c:v>9/16/2024</c:v>
                </c:pt>
                <c:pt idx="351">
                  <c:v>9/23/2024</c:v>
                </c:pt>
                <c:pt idx="352">
                  <c:v>9/30/2024</c:v>
                </c:pt>
                <c:pt idx="353">
                  <c:v>10/7/2024</c:v>
                </c:pt>
                <c:pt idx="354">
                  <c:v>10/14/2024</c:v>
                </c:pt>
                <c:pt idx="355">
                  <c:v>10/21/2024</c:v>
                </c:pt>
                <c:pt idx="356">
                  <c:v>10/28/2024</c:v>
                </c:pt>
                <c:pt idx="357">
                  <c:v>11/4/2024</c:v>
                </c:pt>
                <c:pt idx="358">
                  <c:v>11/11/2024</c:v>
                </c:pt>
                <c:pt idx="359">
                  <c:v>11/18/2024</c:v>
                </c:pt>
                <c:pt idx="360">
                  <c:v>11/25/2024</c:v>
                </c:pt>
                <c:pt idx="361">
                  <c:v>12/2/2024</c:v>
                </c:pt>
                <c:pt idx="362">
                  <c:v>12/9/2024</c:v>
                </c:pt>
                <c:pt idx="363">
                  <c:v>12/16/2024</c:v>
                </c:pt>
                <c:pt idx="364">
                  <c:v>12/23/2024</c:v>
                </c:pt>
                <c:pt idx="365">
                  <c:v>12/30/2024</c:v>
                </c:pt>
                <c:pt idx="366">
                  <c:v>1/6/2025</c:v>
                </c:pt>
                <c:pt idx="367">
                  <c:v>1/13/2025</c:v>
                </c:pt>
                <c:pt idx="368">
                  <c:v>1/20/2025</c:v>
                </c:pt>
                <c:pt idx="369">
                  <c:v>1/27/2025</c:v>
                </c:pt>
                <c:pt idx="370">
                  <c:v>2/3/2025</c:v>
                </c:pt>
                <c:pt idx="371">
                  <c:v>2/10/2025</c:v>
                </c:pt>
                <c:pt idx="372">
                  <c:v>2/17/2025</c:v>
                </c:pt>
                <c:pt idx="373">
                  <c:v>2/24/2025</c:v>
                </c:pt>
                <c:pt idx="374">
                  <c:v>3/3/2025</c:v>
                </c:pt>
                <c:pt idx="375">
                  <c:v>3/10/2025</c:v>
                </c:pt>
                <c:pt idx="376">
                  <c:v>3/17/2025</c:v>
                </c:pt>
                <c:pt idx="377">
                  <c:v>3/24/2025</c:v>
                </c:pt>
                <c:pt idx="378">
                  <c:v>3/31/2025</c:v>
                </c:pt>
                <c:pt idx="379">
                  <c:v>4/7/2025</c:v>
                </c:pt>
                <c:pt idx="380">
                  <c:v>4/14/2025</c:v>
                </c:pt>
                <c:pt idx="381">
                  <c:v>4/21/2025</c:v>
                </c:pt>
                <c:pt idx="382">
                  <c:v>4/28/2025</c:v>
                </c:pt>
                <c:pt idx="383">
                  <c:v>5/5/2025</c:v>
                </c:pt>
                <c:pt idx="384">
                  <c:v>5/12/2025</c:v>
                </c:pt>
                <c:pt idx="385">
                  <c:v>5/19/2025</c:v>
                </c:pt>
                <c:pt idx="386">
                  <c:v>5/26/2025</c:v>
                </c:pt>
                <c:pt idx="387">
                  <c:v>6/2/2025</c:v>
                </c:pt>
                <c:pt idx="388">
                  <c:v>6/9/2025</c:v>
                </c:pt>
                <c:pt idx="389">
                  <c:v>6/16/2025</c:v>
                </c:pt>
                <c:pt idx="390">
                  <c:v>6/23/2025</c:v>
                </c:pt>
                <c:pt idx="391">
                  <c:v>6/30/2025</c:v>
                </c:pt>
                <c:pt idx="392">
                  <c:v>7/7/2025</c:v>
                </c:pt>
                <c:pt idx="393">
                  <c:v>7/14/2025</c:v>
                </c:pt>
                <c:pt idx="394">
                  <c:v>7/21/2025</c:v>
                </c:pt>
                <c:pt idx="395">
                  <c:v>7/28/2025</c:v>
                </c:pt>
                <c:pt idx="396">
                  <c:v>8/4/2025</c:v>
                </c:pt>
                <c:pt idx="397">
                  <c:v>8/11/2025</c:v>
                </c:pt>
                <c:pt idx="398">
                  <c:v>8/18/2025</c:v>
                </c:pt>
                <c:pt idx="399">
                  <c:v>8/25/2025</c:v>
                </c:pt>
                <c:pt idx="400">
                  <c:v>9/1/2025</c:v>
                </c:pt>
                <c:pt idx="401">
                  <c:v>9/8/2025</c:v>
                </c:pt>
                <c:pt idx="402">
                  <c:v>9/15/2025</c:v>
                </c:pt>
                <c:pt idx="403">
                  <c:v>9/22/2025</c:v>
                </c:pt>
                <c:pt idx="404">
                  <c:v>9/29/2025</c:v>
                </c:pt>
                <c:pt idx="405">
                  <c:v>10/6/2025</c:v>
                </c:pt>
                <c:pt idx="406">
                  <c:v>10/13/2025</c:v>
                </c:pt>
                <c:pt idx="407">
                  <c:v>10/20/2025</c:v>
                </c:pt>
                <c:pt idx="408">
                  <c:v>10/27/2025</c:v>
                </c:pt>
                <c:pt idx="409">
                  <c:v>11/3/2025</c:v>
                </c:pt>
                <c:pt idx="410">
                  <c:v>11/10/2025</c:v>
                </c:pt>
                <c:pt idx="411">
                  <c:v>11/17/2025</c:v>
                </c:pt>
                <c:pt idx="412">
                  <c:v>11/24/2025</c:v>
                </c:pt>
                <c:pt idx="413">
                  <c:v>12/1/2025</c:v>
                </c:pt>
                <c:pt idx="414">
                  <c:v>12/8/2025</c:v>
                </c:pt>
                <c:pt idx="415">
                  <c:v>12/15/2025</c:v>
                </c:pt>
                <c:pt idx="416">
                  <c:v>12/22/2025</c:v>
                </c:pt>
                <c:pt idx="417">
                  <c:v>12/29/2025</c:v>
                </c:pt>
                <c:pt idx="418">
                  <c:v>1/5/2026</c:v>
                </c:pt>
                <c:pt idx="419">
                  <c:v>1/12/2026</c:v>
                </c:pt>
                <c:pt idx="420">
                  <c:v>1/19/2026</c:v>
                </c:pt>
                <c:pt idx="421">
                  <c:v>1/26/2026</c:v>
                </c:pt>
                <c:pt idx="422">
                  <c:v>2/2/2026</c:v>
                </c:pt>
                <c:pt idx="423">
                  <c:v>2/9/2026</c:v>
                </c:pt>
                <c:pt idx="424">
                  <c:v>2/16/2026</c:v>
                </c:pt>
                <c:pt idx="425">
                  <c:v>2/23/2026</c:v>
                </c:pt>
                <c:pt idx="426">
                  <c:v>3/2/2026</c:v>
                </c:pt>
                <c:pt idx="427">
                  <c:v>3/9/2026</c:v>
                </c:pt>
                <c:pt idx="428">
                  <c:v>3/16/2026</c:v>
                </c:pt>
                <c:pt idx="429">
                  <c:v>3/23/2026</c:v>
                </c:pt>
                <c:pt idx="430">
                  <c:v>3/30/2026</c:v>
                </c:pt>
                <c:pt idx="431">
                  <c:v>4/6/2026</c:v>
                </c:pt>
                <c:pt idx="432">
                  <c:v>4/13/2026</c:v>
                </c:pt>
                <c:pt idx="433">
                  <c:v>4/20/2026</c:v>
                </c:pt>
                <c:pt idx="434">
                  <c:v>4/27/2026</c:v>
                </c:pt>
                <c:pt idx="435">
                  <c:v>5/4/2026</c:v>
                </c:pt>
                <c:pt idx="436">
                  <c:v>5/11/2026</c:v>
                </c:pt>
                <c:pt idx="437">
                  <c:v>5/18/2026</c:v>
                </c:pt>
                <c:pt idx="438">
                  <c:v>5/25/2026</c:v>
                </c:pt>
                <c:pt idx="439">
                  <c:v>6/1/2026</c:v>
                </c:pt>
                <c:pt idx="440">
                  <c:v>6/8/2026</c:v>
                </c:pt>
                <c:pt idx="441">
                  <c:v>6/15/2026</c:v>
                </c:pt>
                <c:pt idx="442">
                  <c:v>6/22/2026</c:v>
                </c:pt>
                <c:pt idx="443">
                  <c:v>6/29/2026</c:v>
                </c:pt>
                <c:pt idx="444">
                  <c:v>7/6/2026</c:v>
                </c:pt>
                <c:pt idx="445">
                  <c:v>7/13/2026</c:v>
                </c:pt>
                <c:pt idx="446">
                  <c:v>7/20/2026</c:v>
                </c:pt>
                <c:pt idx="447">
                  <c:v>7/27/2026</c:v>
                </c:pt>
                <c:pt idx="448">
                  <c:v>8/3/2026</c:v>
                </c:pt>
                <c:pt idx="449">
                  <c:v>8/10/2026</c:v>
                </c:pt>
                <c:pt idx="450">
                  <c:v>8/17/2026</c:v>
                </c:pt>
                <c:pt idx="451">
                  <c:v>8/24/2026</c:v>
                </c:pt>
                <c:pt idx="452">
                  <c:v>8/31/2026</c:v>
                </c:pt>
                <c:pt idx="453">
                  <c:v>9/7/2026</c:v>
                </c:pt>
                <c:pt idx="454">
                  <c:v>9/14/2026</c:v>
                </c:pt>
                <c:pt idx="455">
                  <c:v>9/21/2026</c:v>
                </c:pt>
                <c:pt idx="456">
                  <c:v>9/28/2026</c:v>
                </c:pt>
              </c:numCache>
            </c:numRef>
          </c:cat>
          <c:val>
            <c:numRef>
              <c:f>Weekly_Data!$C$2:$C$458</c:f>
              <c:numCache>
                <c:formatCode>0.00</c:formatCode>
                <c:ptCount val="457"/>
                <c:pt idx="0">
                  <c:v>123.51</c:v>
                </c:pt>
                <c:pt idx="1">
                  <c:v>123.97</c:v>
                </c:pt>
                <c:pt idx="2">
                  <c:v>124.58</c:v>
                </c:pt>
                <c:pt idx="3">
                  <c:v>125.07</c:v>
                </c:pt>
                <c:pt idx="4">
                  <c:v>125.32</c:v>
                </c:pt>
                <c:pt idx="5">
                  <c:v>125.36</c:v>
                </c:pt>
                <c:pt idx="6">
                  <c:v>125.02</c:v>
                </c:pt>
                <c:pt idx="7">
                  <c:v>124.18</c:v>
                </c:pt>
                <c:pt idx="8">
                  <c:v>123.09</c:v>
                </c:pt>
                <c:pt idx="9">
                  <c:v>122.92</c:v>
                </c:pt>
                <c:pt idx="10">
                  <c:v>122.96</c:v>
                </c:pt>
                <c:pt idx="11">
                  <c:v>122.84</c:v>
                </c:pt>
                <c:pt idx="12">
                  <c:v>122.9</c:v>
                </c:pt>
                <c:pt idx="13">
                  <c:v>123.05</c:v>
                </c:pt>
                <c:pt idx="14">
                  <c:v>123.58</c:v>
                </c:pt>
                <c:pt idx="15">
                  <c:v>124.29</c:v>
                </c:pt>
                <c:pt idx="16">
                  <c:v>125.39</c:v>
                </c:pt>
                <c:pt idx="17">
                  <c:v>126.01</c:v>
                </c:pt>
                <c:pt idx="18">
                  <c:v>126.99</c:v>
                </c:pt>
                <c:pt idx="19">
                  <c:v>128.28</c:v>
                </c:pt>
                <c:pt idx="20">
                  <c:v>130.04</c:v>
                </c:pt>
                <c:pt idx="21">
                  <c:v>131.66</c:v>
                </c:pt>
                <c:pt idx="22">
                  <c:v>132.34</c:v>
                </c:pt>
                <c:pt idx="23">
                  <c:v>132.62</c:v>
                </c:pt>
                <c:pt idx="24">
                  <c:v>131.98</c:v>
                </c:pt>
                <c:pt idx="25">
                  <c:v>131.27</c:v>
                </c:pt>
                <c:pt idx="26">
                  <c:v>130.83</c:v>
                </c:pt>
                <c:pt idx="27">
                  <c:v>131.53</c:v>
                </c:pt>
                <c:pt idx="28">
                  <c:v>131.85</c:v>
                </c:pt>
                <c:pt idx="29">
                  <c:v>131.9</c:v>
                </c:pt>
                <c:pt idx="30">
                  <c:v>131.94</c:v>
                </c:pt>
                <c:pt idx="31">
                  <c:v>132.39</c:v>
                </c:pt>
                <c:pt idx="32">
                  <c:v>132.56</c:v>
                </c:pt>
                <c:pt idx="33">
                  <c:v>132.97</c:v>
                </c:pt>
                <c:pt idx="34">
                  <c:v>133.2</c:v>
                </c:pt>
                <c:pt idx="35">
                  <c:v>133.67</c:v>
                </c:pt>
                <c:pt idx="36">
                  <c:v>134.31</c:v>
                </c:pt>
                <c:pt idx="37">
                  <c:v>134.57</c:v>
                </c:pt>
                <c:pt idx="38">
                  <c:v>134.77</c:v>
                </c:pt>
                <c:pt idx="39">
                  <c:v>134.86</c:v>
                </c:pt>
                <c:pt idx="40">
                  <c:v>135.53</c:v>
                </c:pt>
                <c:pt idx="41">
                  <c:v>136.63</c:v>
                </c:pt>
                <c:pt idx="42">
                  <c:v>136.93</c:v>
                </c:pt>
                <c:pt idx="43">
                  <c:v>136.99</c:v>
                </c:pt>
                <c:pt idx="44">
                  <c:v>137.03</c:v>
                </c:pt>
                <c:pt idx="45">
                  <c:v>137.08</c:v>
                </c:pt>
                <c:pt idx="46">
                  <c:v>136.38</c:v>
                </c:pt>
                <c:pt idx="47">
                  <c:v>135.43</c:v>
                </c:pt>
                <c:pt idx="48">
                  <c:v>134.38</c:v>
                </c:pt>
                <c:pt idx="49">
                  <c:v>132.5</c:v>
                </c:pt>
                <c:pt idx="50">
                  <c:v>131.26</c:v>
                </c:pt>
                <c:pt idx="51">
                  <c:v>130.91</c:v>
                </c:pt>
                <c:pt idx="52">
                  <c:v>130.26</c:v>
                </c:pt>
                <c:pt idx="53">
                  <c:v>130.33</c:v>
                </c:pt>
                <c:pt idx="54">
                  <c:v>129.47</c:v>
                </c:pt>
                <c:pt idx="55">
                  <c:v>128.92</c:v>
                </c:pt>
                <c:pt idx="56">
                  <c:v>129.1</c:v>
                </c:pt>
                <c:pt idx="57">
                  <c:v>129.13</c:v>
                </c:pt>
                <c:pt idx="58">
                  <c:v>129.17</c:v>
                </c:pt>
                <c:pt idx="59">
                  <c:v>129.23</c:v>
                </c:pt>
                <c:pt idx="60">
                  <c:v>129.66</c:v>
                </c:pt>
                <c:pt idx="61">
                  <c:v>130.25</c:v>
                </c:pt>
                <c:pt idx="62">
                  <c:v>130.59</c:v>
                </c:pt>
                <c:pt idx="63">
                  <c:v>130.85</c:v>
                </c:pt>
                <c:pt idx="64">
                  <c:v>131.15</c:v>
                </c:pt>
                <c:pt idx="65">
                  <c:v>131.48</c:v>
                </c:pt>
                <c:pt idx="66">
                  <c:v>132.08</c:v>
                </c:pt>
                <c:pt idx="67">
                  <c:v>132.96</c:v>
                </c:pt>
                <c:pt idx="68">
                  <c:v>133.99</c:v>
                </c:pt>
                <c:pt idx="69">
                  <c:v>134.6</c:v>
                </c:pt>
                <c:pt idx="70">
                  <c:v>135.41</c:v>
                </c:pt>
                <c:pt idx="71">
                  <c:v>135.36</c:v>
                </c:pt>
                <c:pt idx="72">
                  <c:v>135.82</c:v>
                </c:pt>
                <c:pt idx="73">
                  <c:v>136.45</c:v>
                </c:pt>
                <c:pt idx="74">
                  <c:v>136.39</c:v>
                </c:pt>
                <c:pt idx="75">
                  <c:v>135.4</c:v>
                </c:pt>
                <c:pt idx="76">
                  <c:v>133.76</c:v>
                </c:pt>
                <c:pt idx="77">
                  <c:v>131.81</c:v>
                </c:pt>
                <c:pt idx="78">
                  <c:v>131.55</c:v>
                </c:pt>
                <c:pt idx="79">
                  <c:v>131.68</c:v>
                </c:pt>
                <c:pt idx="80">
                  <c:v>131.86</c:v>
                </c:pt>
                <c:pt idx="81">
                  <c:v>132.21</c:v>
                </c:pt>
                <c:pt idx="82">
                  <c:v>132.6</c:v>
                </c:pt>
                <c:pt idx="83">
                  <c:v>132.61</c:v>
                </c:pt>
                <c:pt idx="84">
                  <c:v>132.59</c:v>
                </c:pt>
                <c:pt idx="85">
                  <c:v>132.6</c:v>
                </c:pt>
                <c:pt idx="86">
                  <c:v>132.51</c:v>
                </c:pt>
                <c:pt idx="87">
                  <c:v>132.29</c:v>
                </c:pt>
                <c:pt idx="88">
                  <c:v>131.89</c:v>
                </c:pt>
                <c:pt idx="89">
                  <c:v>131.35</c:v>
                </c:pt>
                <c:pt idx="90">
                  <c:v>131.52</c:v>
                </c:pt>
                <c:pt idx="91">
                  <c:v>131.83</c:v>
                </c:pt>
                <c:pt idx="92">
                  <c:v>131.82</c:v>
                </c:pt>
                <c:pt idx="93">
                  <c:v>131.89</c:v>
                </c:pt>
                <c:pt idx="94">
                  <c:v>131.28</c:v>
                </c:pt>
                <c:pt idx="95">
                  <c:v>130.6</c:v>
                </c:pt>
                <c:pt idx="96">
                  <c:v>130.38</c:v>
                </c:pt>
                <c:pt idx="97">
                  <c:v>130.42</c:v>
                </c:pt>
                <c:pt idx="98">
                  <c:v>130.35</c:v>
                </c:pt>
                <c:pt idx="99">
                  <c:v>130.08</c:v>
                </c:pt>
                <c:pt idx="100">
                  <c:v>129.79</c:v>
                </c:pt>
                <c:pt idx="101">
                  <c:v>129.79</c:v>
                </c:pt>
                <c:pt idx="102">
                  <c:v>129.56</c:v>
                </c:pt>
                <c:pt idx="103">
                  <c:v>129.81</c:v>
                </c:pt>
                <c:pt idx="104">
                  <c:v>130.54</c:v>
                </c:pt>
                <c:pt idx="105">
                  <c:v>131.56</c:v>
                </c:pt>
                <c:pt idx="106">
                  <c:v>132.69</c:v>
                </c:pt>
                <c:pt idx="107">
                  <c:v>132.74</c:v>
                </c:pt>
                <c:pt idx="108">
                  <c:v>132.88</c:v>
                </c:pt>
                <c:pt idx="109">
                  <c:v>131.48</c:v>
                </c:pt>
                <c:pt idx="110">
                  <c:v>129.7</c:v>
                </c:pt>
                <c:pt idx="111">
                  <c:v>128.2</c:v>
                </c:pt>
                <c:pt idx="112">
                  <c:v>127.67</c:v>
                </c:pt>
                <c:pt idx="113">
                  <c:v>126.62</c:v>
                </c:pt>
                <c:pt idx="114">
                  <c:v>126.25</c:v>
                </c:pt>
                <c:pt idx="115">
                  <c:v>124.36</c:v>
                </c:pt>
                <c:pt idx="116">
                  <c:v>123.41</c:v>
                </c:pt>
                <c:pt idx="117">
                  <c:v>118.6</c:v>
                </c:pt>
                <c:pt idx="118">
                  <c:v>116.83</c:v>
                </c:pt>
                <c:pt idx="119">
                  <c:v>116.15</c:v>
                </c:pt>
                <c:pt idx="120">
                  <c:v>115.73</c:v>
                </c:pt>
                <c:pt idx="121">
                  <c:v>115.22</c:v>
                </c:pt>
                <c:pt idx="122">
                  <c:v>114.94</c:v>
                </c:pt>
                <c:pt idx="123">
                  <c:v>114.83</c:v>
                </c:pt>
                <c:pt idx="124">
                  <c:v>112.22</c:v>
                </c:pt>
                <c:pt idx="125">
                  <c:v>111.7</c:v>
                </c:pt>
                <c:pt idx="126">
                  <c:v>111.76</c:v>
                </c:pt>
                <c:pt idx="127">
                  <c:v>111.98</c:v>
                </c:pt>
                <c:pt idx="128">
                  <c:v>112.53</c:v>
                </c:pt>
                <c:pt idx="129">
                  <c:v>112.98</c:v>
                </c:pt>
                <c:pt idx="130">
                  <c:v>114.1</c:v>
                </c:pt>
                <c:pt idx="131">
                  <c:v>115.05</c:v>
                </c:pt>
                <c:pt idx="132">
                  <c:v>116.75</c:v>
                </c:pt>
                <c:pt idx="133">
                  <c:v>117.35</c:v>
                </c:pt>
                <c:pt idx="134">
                  <c:v>117.76</c:v>
                </c:pt>
                <c:pt idx="135">
                  <c:v>117.97</c:v>
                </c:pt>
                <c:pt idx="136">
                  <c:v>118.01</c:v>
                </c:pt>
                <c:pt idx="137">
                  <c:v>118</c:v>
                </c:pt>
                <c:pt idx="138">
                  <c:v>118.14</c:v>
                </c:pt>
                <c:pt idx="139">
                  <c:v>118.18</c:v>
                </c:pt>
                <c:pt idx="140">
                  <c:v>118.22</c:v>
                </c:pt>
                <c:pt idx="141">
                  <c:v>118.18</c:v>
                </c:pt>
                <c:pt idx="142">
                  <c:v>118.16</c:v>
                </c:pt>
                <c:pt idx="143">
                  <c:v>118.14</c:v>
                </c:pt>
                <c:pt idx="144">
                  <c:v>118.11</c:v>
                </c:pt>
                <c:pt idx="145">
                  <c:v>118.05</c:v>
                </c:pt>
                <c:pt idx="146">
                  <c:v>118.08</c:v>
                </c:pt>
                <c:pt idx="147">
                  <c:v>118.08</c:v>
                </c:pt>
                <c:pt idx="148">
                  <c:v>118.06</c:v>
                </c:pt>
                <c:pt idx="149">
                  <c:v>117.28</c:v>
                </c:pt>
                <c:pt idx="150">
                  <c:v>117.07</c:v>
                </c:pt>
                <c:pt idx="151">
                  <c:v>117.13</c:v>
                </c:pt>
                <c:pt idx="152">
                  <c:v>117.41</c:v>
                </c:pt>
                <c:pt idx="153">
                  <c:v>117.99</c:v>
                </c:pt>
                <c:pt idx="154">
                  <c:v>118.57</c:v>
                </c:pt>
                <c:pt idx="155">
                  <c:v>119.17</c:v>
                </c:pt>
                <c:pt idx="156">
                  <c:v>119.65</c:v>
                </c:pt>
                <c:pt idx="157">
                  <c:v>119.97</c:v>
                </c:pt>
                <c:pt idx="158">
                  <c:v>120.61</c:v>
                </c:pt>
                <c:pt idx="159">
                  <c:v>121.52</c:v>
                </c:pt>
                <c:pt idx="160">
                  <c:v>122.7</c:v>
                </c:pt>
                <c:pt idx="161">
                  <c:v>123.7</c:v>
                </c:pt>
                <c:pt idx="162">
                  <c:v>124.09</c:v>
                </c:pt>
                <c:pt idx="163">
                  <c:v>125.01</c:v>
                </c:pt>
                <c:pt idx="164">
                  <c:v>125.71</c:v>
                </c:pt>
                <c:pt idx="165">
                  <c:v>126.62</c:v>
                </c:pt>
                <c:pt idx="166">
                  <c:v>127.4</c:v>
                </c:pt>
                <c:pt idx="167">
                  <c:v>128.24</c:v>
                </c:pt>
                <c:pt idx="168">
                  <c:v>129.02</c:v>
                </c:pt>
                <c:pt idx="169">
                  <c:v>129.32</c:v>
                </c:pt>
                <c:pt idx="170">
                  <c:v>129.35</c:v>
                </c:pt>
                <c:pt idx="171">
                  <c:v>129.39</c:v>
                </c:pt>
                <c:pt idx="172">
                  <c:v>129.49</c:v>
                </c:pt>
                <c:pt idx="173">
                  <c:v>129.77</c:v>
                </c:pt>
                <c:pt idx="174">
                  <c:v>130</c:v>
                </c:pt>
                <c:pt idx="175">
                  <c:v>130.43</c:v>
                </c:pt>
                <c:pt idx="176">
                  <c:v>131.03</c:v>
                </c:pt>
                <c:pt idx="177">
                  <c:v>131.52</c:v>
                </c:pt>
                <c:pt idx="178">
                  <c:v>131.82</c:v>
                </c:pt>
                <c:pt idx="179">
                  <c:v>132.38</c:v>
                </c:pt>
                <c:pt idx="180">
                  <c:v>133.17</c:v>
                </c:pt>
                <c:pt idx="181">
                  <c:v>133.69</c:v>
                </c:pt>
                <c:pt idx="182">
                  <c:v>134.27</c:v>
                </c:pt>
                <c:pt idx="183">
                  <c:v>134.13</c:v>
                </c:pt>
                <c:pt idx="184">
                  <c:v>135.29</c:v>
                </c:pt>
                <c:pt idx="185">
                  <c:v>135.95</c:v>
                </c:pt>
                <c:pt idx="186">
                  <c:v>136.2</c:v>
                </c:pt>
                <c:pt idx="187">
                  <c:v>136.89</c:v>
                </c:pt>
                <c:pt idx="188">
                  <c:v>137.31</c:v>
                </c:pt>
                <c:pt idx="189">
                  <c:v>136.77</c:v>
                </c:pt>
                <c:pt idx="190">
                  <c:v>137.15</c:v>
                </c:pt>
                <c:pt idx="191">
                  <c:v>137.11</c:v>
                </c:pt>
                <c:pt idx="192">
                  <c:v>137.19</c:v>
                </c:pt>
                <c:pt idx="193">
                  <c:v>137.19</c:v>
                </c:pt>
                <c:pt idx="194">
                  <c:v>137.35</c:v>
                </c:pt>
                <c:pt idx="195">
                  <c:v>137.95</c:v>
                </c:pt>
                <c:pt idx="196">
                  <c:v>139.2</c:v>
                </c:pt>
                <c:pt idx="197">
                  <c:v>140.66</c:v>
                </c:pt>
                <c:pt idx="198">
                  <c:v>143.19</c:v>
                </c:pt>
                <c:pt idx="199">
                  <c:v>145.9</c:v>
                </c:pt>
                <c:pt idx="200">
                  <c:v>147.48</c:v>
                </c:pt>
                <c:pt idx="201">
                  <c:v>148.84</c:v>
                </c:pt>
                <c:pt idx="202">
                  <c:v>149.76</c:v>
                </c:pt>
                <c:pt idx="203">
                  <c:v>150.73</c:v>
                </c:pt>
                <c:pt idx="204">
                  <c:v>151.31</c:v>
                </c:pt>
                <c:pt idx="205">
                  <c:v>150.61</c:v>
                </c:pt>
                <c:pt idx="206">
                  <c:v>149.88</c:v>
                </c:pt>
                <c:pt idx="207">
                  <c:v>148.89</c:v>
                </c:pt>
                <c:pt idx="208">
                  <c:v>148.82</c:v>
                </c:pt>
                <c:pt idx="209">
                  <c:v>148.85</c:v>
                </c:pt>
                <c:pt idx="210">
                  <c:v>148.65</c:v>
                </c:pt>
                <c:pt idx="211">
                  <c:v>148.7</c:v>
                </c:pt>
                <c:pt idx="212">
                  <c:v>148.81</c:v>
                </c:pt>
                <c:pt idx="213">
                  <c:v>149.68</c:v>
                </c:pt>
                <c:pt idx="214">
                  <c:v>150.3</c:v>
                </c:pt>
                <c:pt idx="215">
                  <c:v>151.1</c:v>
                </c:pt>
                <c:pt idx="216">
                  <c:v>151.95</c:v>
                </c:pt>
                <c:pt idx="217">
                  <c:v>153.36</c:v>
                </c:pt>
                <c:pt idx="218">
                  <c:v>158.56</c:v>
                </c:pt>
                <c:pt idx="219">
                  <c:v>169.48</c:v>
                </c:pt>
                <c:pt idx="220">
                  <c:v>177.47</c:v>
                </c:pt>
                <c:pt idx="221">
                  <c:v>176.44</c:v>
                </c:pt>
                <c:pt idx="222">
                  <c:v>176</c:v>
                </c:pt>
                <c:pt idx="223">
                  <c:v>176.22</c:v>
                </c:pt>
                <c:pt idx="224">
                  <c:v>175.93</c:v>
                </c:pt>
                <c:pt idx="225">
                  <c:v>176.33</c:v>
                </c:pt>
                <c:pt idx="226">
                  <c:v>177.06</c:v>
                </c:pt>
                <c:pt idx="227">
                  <c:v>178.39</c:v>
                </c:pt>
                <c:pt idx="228">
                  <c:v>179.67</c:v>
                </c:pt>
                <c:pt idx="229">
                  <c:v>181.16</c:v>
                </c:pt>
                <c:pt idx="230">
                  <c:v>182.25</c:v>
                </c:pt>
                <c:pt idx="231">
                  <c:v>184.94</c:v>
                </c:pt>
                <c:pt idx="232">
                  <c:v>190.43</c:v>
                </c:pt>
                <c:pt idx="233">
                  <c:v>194.87</c:v>
                </c:pt>
                <c:pt idx="234">
                  <c:v>198.93</c:v>
                </c:pt>
                <c:pt idx="235">
                  <c:v>199.22</c:v>
                </c:pt>
                <c:pt idx="236">
                  <c:v>198.74</c:v>
                </c:pt>
                <c:pt idx="237">
                  <c:v>197.53</c:v>
                </c:pt>
                <c:pt idx="238">
                  <c:v>195.88</c:v>
                </c:pt>
                <c:pt idx="239">
                  <c:v>193.04</c:v>
                </c:pt>
                <c:pt idx="240">
                  <c:v>188.49</c:v>
                </c:pt>
                <c:pt idx="241">
                  <c:v>185.16</c:v>
                </c:pt>
                <c:pt idx="242">
                  <c:v>182.92</c:v>
                </c:pt>
                <c:pt idx="243">
                  <c:v>183.2</c:v>
                </c:pt>
                <c:pt idx="244">
                  <c:v>182.82</c:v>
                </c:pt>
                <c:pt idx="245">
                  <c:v>182.22</c:v>
                </c:pt>
                <c:pt idx="246">
                  <c:v>181.13</c:v>
                </c:pt>
                <c:pt idx="247">
                  <c:v>180.46</c:v>
                </c:pt>
                <c:pt idx="248">
                  <c:v>180.04</c:v>
                </c:pt>
                <c:pt idx="249">
                  <c:v>180.76</c:v>
                </c:pt>
                <c:pt idx="250">
                  <c:v>181.86</c:v>
                </c:pt>
                <c:pt idx="251">
                  <c:v>187.3</c:v>
                </c:pt>
                <c:pt idx="252">
                  <c:v>189.77</c:v>
                </c:pt>
                <c:pt idx="253">
                  <c:v>189.79</c:v>
                </c:pt>
                <c:pt idx="254">
                  <c:v>188.85</c:v>
                </c:pt>
                <c:pt idx="255">
                  <c:v>187.57</c:v>
                </c:pt>
                <c:pt idx="256">
                  <c:v>185.57</c:v>
                </c:pt>
                <c:pt idx="257">
                  <c:v>183.56</c:v>
                </c:pt>
                <c:pt idx="258">
                  <c:v>179.91</c:v>
                </c:pt>
                <c:pt idx="259">
                  <c:v>177.62</c:v>
                </c:pt>
                <c:pt idx="260">
                  <c:v>175.52</c:v>
                </c:pt>
                <c:pt idx="261">
                  <c:v>174.16</c:v>
                </c:pt>
                <c:pt idx="262">
                  <c:v>173.16</c:v>
                </c:pt>
                <c:pt idx="263">
                  <c:v>171.64</c:v>
                </c:pt>
                <c:pt idx="264">
                  <c:v>170.86</c:v>
                </c:pt>
                <c:pt idx="265">
                  <c:v>170.56</c:v>
                </c:pt>
                <c:pt idx="266">
                  <c:v>170.36</c:v>
                </c:pt>
                <c:pt idx="267">
                  <c:v>169.66</c:v>
                </c:pt>
                <c:pt idx="268">
                  <c:v>169.3</c:v>
                </c:pt>
                <c:pt idx="269">
                  <c:v>168.56</c:v>
                </c:pt>
                <c:pt idx="270">
                  <c:v>167.33</c:v>
                </c:pt>
                <c:pt idx="271">
                  <c:v>167.04</c:v>
                </c:pt>
                <c:pt idx="272">
                  <c:v>166.26</c:v>
                </c:pt>
                <c:pt idx="273">
                  <c:v>165.18</c:v>
                </c:pt>
                <c:pt idx="274">
                  <c:v>163.71</c:v>
                </c:pt>
                <c:pt idx="275">
                  <c:v>162.71</c:v>
                </c:pt>
                <c:pt idx="276">
                  <c:v>162.11</c:v>
                </c:pt>
                <c:pt idx="277">
                  <c:v>161.34</c:v>
                </c:pt>
                <c:pt idx="278">
                  <c:v>160.35</c:v>
                </c:pt>
                <c:pt idx="279">
                  <c:v>158.12</c:v>
                </c:pt>
                <c:pt idx="280">
                  <c:v>155.53</c:v>
                </c:pt>
                <c:pt idx="281">
                  <c:v>151.59</c:v>
                </c:pt>
                <c:pt idx="282">
                  <c:v>147.87</c:v>
                </c:pt>
                <c:pt idx="283">
                  <c:v>146.43</c:v>
                </c:pt>
                <c:pt idx="284">
                  <c:v>145.48</c:v>
                </c:pt>
                <c:pt idx="285">
                  <c:v>145.2</c:v>
                </c:pt>
                <c:pt idx="286">
                  <c:v>145.65</c:v>
                </c:pt>
                <c:pt idx="287">
                  <c:v>145.52</c:v>
                </c:pt>
                <c:pt idx="288">
                  <c:v>144.73</c:v>
                </c:pt>
                <c:pt idx="289">
                  <c:v>144.64</c:v>
                </c:pt>
                <c:pt idx="290">
                  <c:v>145.13</c:v>
                </c:pt>
                <c:pt idx="291">
                  <c:v>145.95</c:v>
                </c:pt>
                <c:pt idx="292">
                  <c:v>148.23</c:v>
                </c:pt>
                <c:pt idx="293">
                  <c:v>150.37</c:v>
                </c:pt>
                <c:pt idx="294">
                  <c:v>152.14</c:v>
                </c:pt>
                <c:pt idx="295">
                  <c:v>153.52</c:v>
                </c:pt>
                <c:pt idx="296">
                  <c:v>154.65</c:v>
                </c:pt>
                <c:pt idx="297">
                  <c:v>156.15</c:v>
                </c:pt>
                <c:pt idx="298">
                  <c:v>158.16</c:v>
                </c:pt>
                <c:pt idx="299">
                  <c:v>160.61</c:v>
                </c:pt>
                <c:pt idx="300">
                  <c:v>162.15</c:v>
                </c:pt>
                <c:pt idx="301">
                  <c:v>162.49</c:v>
                </c:pt>
                <c:pt idx="302">
                  <c:v>162.31</c:v>
                </c:pt>
                <c:pt idx="303">
                  <c:v>162.19</c:v>
                </c:pt>
                <c:pt idx="304">
                  <c:v>161.76</c:v>
                </c:pt>
                <c:pt idx="305">
                  <c:v>160.86</c:v>
                </c:pt>
                <c:pt idx="306">
                  <c:v>160.39</c:v>
                </c:pt>
                <c:pt idx="307">
                  <c:v>158.44</c:v>
                </c:pt>
                <c:pt idx="308">
                  <c:v>156.18</c:v>
                </c:pt>
                <c:pt idx="309">
                  <c:v>154.1</c:v>
                </c:pt>
                <c:pt idx="310">
                  <c:v>152.01</c:v>
                </c:pt>
                <c:pt idx="311">
                  <c:v>150.38</c:v>
                </c:pt>
                <c:pt idx="312">
                  <c:v>149.24</c:v>
                </c:pt>
                <c:pt idx="313">
                  <c:v>148.66</c:v>
                </c:pt>
                <c:pt idx="314">
                  <c:v>148.21</c:v>
                </c:pt>
                <c:pt idx="315">
                  <c:v>147.93</c:v>
                </c:pt>
                <c:pt idx="316">
                  <c:v>147.96</c:v>
                </c:pt>
                <c:pt idx="317">
                  <c:v>148.56</c:v>
                </c:pt>
                <c:pt idx="318">
                  <c:v>149.35</c:v>
                </c:pt>
                <c:pt idx="319">
                  <c:v>150.28</c:v>
                </c:pt>
                <c:pt idx="320">
                  <c:v>152.08</c:v>
                </c:pt>
                <c:pt idx="321">
                  <c:v>153.29</c:v>
                </c:pt>
                <c:pt idx="322">
                  <c:v>154.53</c:v>
                </c:pt>
                <c:pt idx="323">
                  <c:v>154.29</c:v>
                </c:pt>
                <c:pt idx="324">
                  <c:v>153.81</c:v>
                </c:pt>
                <c:pt idx="325">
                  <c:v>153.9</c:v>
                </c:pt>
                <c:pt idx="326">
                  <c:v>156</c:v>
                </c:pt>
                <c:pt idx="327">
                  <c:v>156.29</c:v>
                </c:pt>
                <c:pt idx="328">
                  <c:v>157.46</c:v>
                </c:pt>
                <c:pt idx="329">
                  <c:v>157.98</c:v>
                </c:pt>
                <c:pt idx="330">
                  <c:v>157.98</c:v>
                </c:pt>
                <c:pt idx="331">
                  <c:v>157.64</c:v>
                </c:pt>
                <c:pt idx="332">
                  <c:v>157.08</c:v>
                </c:pt>
                <c:pt idx="333">
                  <c:v>156.21</c:v>
                </c:pt>
                <c:pt idx="334">
                  <c:v>154.3</c:v>
                </c:pt>
                <c:pt idx="335">
                  <c:v>153.26</c:v>
                </c:pt>
                <c:pt idx="336">
                  <c:v>151.99</c:v>
                </c:pt>
                <c:pt idx="337">
                  <c:v>150.7</c:v>
                </c:pt>
                <c:pt idx="338">
                  <c:v>150.12</c:v>
                </c:pt>
                <c:pt idx="339">
                  <c:v>150.06</c:v>
                </c:pt>
                <c:pt idx="340">
                  <c:v>150.39</c:v>
                </c:pt>
                <c:pt idx="341">
                  <c:v>150.56</c:v>
                </c:pt>
                <c:pt idx="342">
                  <c:v>150.59</c:v>
                </c:pt>
                <c:pt idx="343">
                  <c:v>150.16</c:v>
                </c:pt>
                <c:pt idx="344">
                  <c:v>149.1</c:v>
                </c:pt>
                <c:pt idx="345">
                  <c:v>148.48</c:v>
                </c:pt>
                <c:pt idx="346">
                  <c:v>147.42</c:v>
                </c:pt>
                <c:pt idx="347">
                  <c:v>146.15</c:v>
                </c:pt>
                <c:pt idx="348">
                  <c:v>145.19</c:v>
                </c:pt>
                <c:pt idx="349">
                  <c:v>143.4</c:v>
                </c:pt>
                <c:pt idx="350">
                  <c:v>141.61</c:v>
                </c:pt>
                <c:pt idx="351">
                  <c:v>140.02</c:v>
                </c:pt>
                <c:pt idx="352">
                  <c:v>138.85</c:v>
                </c:pt>
                <c:pt idx="353">
                  <c:v>138.46</c:v>
                </c:pt>
                <c:pt idx="354">
                  <c:v>139.08</c:v>
                </c:pt>
                <c:pt idx="355">
                  <c:v>139.26</c:v>
                </c:pt>
                <c:pt idx="356">
                  <c:v>139.71</c:v>
                </c:pt>
                <c:pt idx="357">
                  <c:v>139.84</c:v>
                </c:pt>
                <c:pt idx="358">
                  <c:v>140.13</c:v>
                </c:pt>
                <c:pt idx="359">
                  <c:v>140.49</c:v>
                </c:pt>
                <c:pt idx="360">
                  <c:v>141.4</c:v>
                </c:pt>
                <c:pt idx="361">
                  <c:v>142.04</c:v>
                </c:pt>
                <c:pt idx="362">
                  <c:v>142.49</c:v>
                </c:pt>
                <c:pt idx="363">
                  <c:v>142.71</c:v>
                </c:pt>
                <c:pt idx="364">
                  <c:v>142.85</c:v>
                </c:pt>
                <c:pt idx="365">
                  <c:v>142.98</c:v>
                </c:pt>
                <c:pt idx="366">
                  <c:v>143.3</c:v>
                </c:pt>
                <c:pt idx="367">
                  <c:v>143.33</c:v>
                </c:pt>
                <c:pt idx="368">
                  <c:v>144.27</c:v>
                </c:pt>
                <c:pt idx="369">
                  <c:v>145.57</c:v>
                </c:pt>
                <c:pt idx="370">
                  <c:v>146.13</c:v>
                </c:pt>
                <c:pt idx="371">
                  <c:v>146.29</c:v>
                </c:pt>
                <c:pt idx="372">
                  <c:v>146.45</c:v>
                </c:pt>
                <c:pt idx="373">
                  <c:v>146.82</c:v>
                </c:pt>
                <c:pt idx="374">
                  <c:v>146.88</c:v>
                </c:pt>
                <c:pt idx="375">
                  <c:v>146.58</c:v>
                </c:pt>
                <c:pt idx="376">
                  <c:v>145.38</c:v>
                </c:pt>
                <c:pt idx="377">
                  <c:v>143.07</c:v>
                </c:pt>
                <c:pt idx="378">
                  <c:v>142.26</c:v>
                </c:pt>
                <c:pt idx="379">
                  <c:v>142.54</c:v>
                </c:pt>
                <c:pt idx="380">
                  <c:v>141.97</c:v>
                </c:pt>
                <c:pt idx="381">
                  <c:v>141.44</c:v>
                </c:pt>
                <c:pt idx="382">
                  <c:v>140.81</c:v>
                </c:pt>
                <c:pt idx="383">
                  <c:v>140.06</c:v>
                </c:pt>
                <c:pt idx="384">
                  <c:v>139.2</c:v>
                </c:pt>
                <c:pt idx="385">
                  <c:v>138.57</c:v>
                </c:pt>
                <c:pt idx="386">
                  <c:v>138.37</c:v>
                </c:pt>
                <c:pt idx="387">
                  <c:v>138.09</c:v>
                </c:pt>
                <c:pt idx="388">
                  <c:v>137.54</c:v>
                </c:pt>
                <c:pt idx="389">
                  <c:v>137.54</c:v>
                </c:pt>
                <c:pt idx="390">
                  <c:v>139.03</c:v>
                </c:pt>
                <c:pt idx="391">
                  <c:v>140.26</c:v>
                </c:pt>
                <c:pt idx="392">
                  <c:v>140.58</c:v>
                </c:pt>
                <c:pt idx="393">
                  <c:v>141.1</c:v>
                </c:pt>
                <c:pt idx="394">
                  <c:v>141.85</c:v>
                </c:pt>
                <c:pt idx="395">
                  <c:v>142</c:v>
                </c:pt>
                <c:pt idx="396">
                  <c:v>142.13</c:v>
                </c:pt>
                <c:pt idx="397">
                  <c:v>142.49</c:v>
                </c:pt>
                <c:pt idx="398">
                  <c:v>142.17</c:v>
                </c:pt>
                <c:pt idx="399">
                  <c:v>141.92</c:v>
                </c:pt>
                <c:pt idx="400">
                  <c:v>141.65</c:v>
                </c:pt>
                <c:pt idx="401">
                  <c:v>141.58</c:v>
                </c:pt>
                <c:pt idx="402">
                  <c:v>141.69</c:v>
                </c:pt>
                <c:pt idx="403">
                  <c:v>142.02</c:v>
                </c:pt>
                <c:pt idx="404">
                  <c:v>142.24</c:v>
                </c:pt>
                <c:pt idx="405">
                  <c:v>142.92</c:v>
                </c:pt>
                <c:pt idx="406">
                  <c:v>142.99</c:v>
                </c:pt>
                <c:pt idx="407">
                  <c:v>142.81</c:v>
                </c:pt>
                <c:pt idx="408">
                  <c:v>142.38</c:v>
                </c:pt>
                <c:pt idx="409">
                  <c:v>142.61</c:v>
                </c:pt>
                <c:pt idx="410">
                  <c:v>143.31</c:v>
                </c:pt>
                <c:pt idx="411">
                  <c:v>143.97</c:v>
                </c:pt>
                <c:pt idx="412">
                  <c:v>145.4</c:v>
                </c:pt>
                <c:pt idx="413">
                  <c:v>146.2</c:v>
                </c:pt>
                <c:pt idx="414">
                  <c:v>146.23</c:v>
                </c:pt>
                <c:pt idx="415">
                  <c:v>146.14</c:v>
                </c:pt>
                <c:pt idx="416">
                  <c:v>145.45</c:v>
                </c:pt>
                <c:pt idx="417">
                  <c:v>144.59</c:v>
                </c:pt>
                <c:pt idx="418">
                  <c:v>144.19</c:v>
                </c:pt>
                <c:pt idx="419">
                  <c:v>142.63</c:v>
                </c:pt>
                <c:pt idx="420">
                  <c:v>141.82</c:v>
                </c:pt>
                <c:pt idx="421">
                  <c:v>141.26</c:v>
                </c:pt>
                <c:pt idx="422">
                  <c:v>140.82</c:v>
                </c:pt>
                <c:pt idx="423">
                  <c:v>140.72</c:v>
                </c:pt>
                <c:pt idx="424">
                  <c:v>141.46</c:v>
                </c:pt>
                <c:pt idx="425">
                  <c:v>141.46</c:v>
                </c:pt>
                <c:pt idx="426">
                  <c:v>142.15</c:v>
                </c:pt>
                <c:pt idx="427">
                  <c:v>149.01</c:v>
                </c:pt>
                <c:pt idx="428">
                  <c:v>158.78</c:v>
                </c:pt>
                <c:pt idx="429">
                  <c:v>166.88</c:v>
                </c:pt>
                <c:pt idx="430">
                  <c:v>176.52</c:v>
                </c:pt>
                <c:pt idx="431">
                  <c:v>186.75</c:v>
                </c:pt>
                <c:pt idx="432">
                  <c:v>192.14</c:v>
                </c:pt>
                <c:pt idx="433">
                  <c:v>191.24</c:v>
                </c:pt>
                <c:pt idx="434">
                  <c:v>189.81</c:v>
                </c:pt>
                <c:pt idx="435">
                  <c:v>188.79</c:v>
                </c:pt>
                <c:pt idx="436">
                  <c:v>188.14</c:v>
                </c:pt>
                <c:pt idx="437">
                  <c:v>186.56</c:v>
                </c:pt>
                <c:pt idx="438">
                  <c:v>185.07</c:v>
                </c:pt>
                <c:pt idx="439">
                  <c:v>184.11</c:v>
                </c:pt>
                <c:pt idx="440">
                  <c:v>181.79</c:v>
                </c:pt>
                <c:pt idx="441">
                  <c:v>176.71</c:v>
                </c:pt>
                <c:pt idx="442">
                  <c:v>172.47</c:v>
                </c:pt>
                <c:pt idx="443">
                  <c:v>167.12</c:v>
                </c:pt>
                <c:pt idx="444">
                  <c:v>164.77</c:v>
                </c:pt>
                <c:pt idx="445">
                  <c:v>164.52</c:v>
                </c:pt>
                <c:pt idx="446">
                  <c:v>167.08</c:v>
                </c:pt>
                <c:pt idx="447">
                  <c:v>173.97</c:v>
                </c:pt>
                <c:pt idx="448">
                  <c:v>179.19</c:v>
                </c:pt>
                <c:pt idx="449">
                  <c:v>181.97</c:v>
                </c:pt>
                <c:pt idx="450">
                  <c:v>182.45</c:v>
                </c:pt>
                <c:pt idx="451">
                  <c:v>182.82</c:v>
                </c:pt>
                <c:pt idx="452">
                  <c:v>183.49</c:v>
                </c:pt>
                <c:pt idx="453">
                  <c:v>186.36</c:v>
                </c:pt>
                <c:pt idx="454">
                  <c:v>190.72</c:v>
                </c:pt>
                <c:pt idx="455">
                  <c:v>195.53</c:v>
                </c:pt>
                <c:pt idx="456">
                  <c:v>197.58</c:v>
                </c:pt>
              </c:numCache>
            </c:numRef>
          </c:val>
          <c:smooth val="0"/>
        </c:ser>
        <c:hiLowLines>
          <c:spPr>
            <a:ln w="0">
              <a:noFill/>
            </a:ln>
          </c:spPr>
        </c:hiLowLines>
        <c:marker val="0"/>
        <c:axId val="12172556"/>
        <c:axId val="93561851"/>
      </c:lineChart>
      <c:dateAx>
        <c:axId val="12172556"/>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561851"/>
        <c:crosses val="autoZero"/>
        <c:auto val="1"/>
        <c:lblOffset val="100"/>
        <c:baseTimeUnit val="days"/>
        <c:noMultiLvlLbl val="0"/>
      </c:dateAx>
      <c:valAx>
        <c:axId val="93561851"/>
        <c:scaling>
          <c:orientation val="minMax"/>
        </c:scaling>
        <c:delete val="0"/>
        <c:axPos val="l"/>
        <c:majorGridlines>
          <c:spPr>
            <a:ln w="9360">
              <a:solidFill>
                <a:srgbClr val="878787"/>
              </a:solidFill>
              <a:round/>
            </a:ln>
          </c:spPr>
        </c:majorGridlines>
        <c:title>
          <c:tx>
            <c:rich>
              <a:bodyPr rot="-5400000"/>
              <a:lstStyle/>
              <a:p>
                <a:pPr>
                  <a:defRPr b="1" lang="en-GB" sz="1000" spc="-1" strike="noStrike">
                    <a:solidFill>
                      <a:srgbClr val="000000"/>
                    </a:solidFill>
                    <a:latin typeface="Calibri"/>
                  </a:defRPr>
                </a:pPr>
                <a:r>
                  <a:rPr b="1" lang="en-GB" sz="1000" spc="-1" strike="noStrike">
                    <a:solidFill>
                      <a:srgbClr val="000000"/>
                    </a:solidFill>
                    <a:latin typeface="Calibri"/>
                  </a:rPr>
                  <a:t>Pence per litre</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1725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GB" sz="1800" spc="-1" strike="noStrike">
                <a:solidFill>
                  <a:srgbClr val="000000"/>
                </a:solidFill>
                <a:latin typeface="Calibri"/>
              </a:defRPr>
            </a:pPr>
            <a:r>
              <a:rPr b="1" lang="en-GB" sz="1800" spc="-1" strike="noStrike">
                <a:solidFill>
                  <a:srgbClr val="000000"/>
                </a:solidFill>
                <a:latin typeface="Calibri"/>
              </a:rPr>
              <a:t>Monthly average pump prices (p/litre)</a:t>
            </a:r>
          </a:p>
        </c:rich>
      </c:tx>
      <c:overlay val="0"/>
      <c:spPr>
        <a:noFill/>
        <a:ln w="0">
          <a:noFill/>
        </a:ln>
      </c:spPr>
    </c:title>
    <c:autoTitleDeleted val="0"/>
    <c:plotArea>
      <c:lineChart>
        <c:grouping val="standard"/>
        <c:varyColors val="0"/>
        <c:ser>
          <c:idx val="0"/>
          <c:order val="0"/>
          <c:tx>
            <c:strRef>
              <c:f>Monthly!$B$1</c:f>
              <c:strCache>
                <c:ptCount val="1"/>
                <c:pt idx="0">
                  <c:v>Avg petrol
(p/litre)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Monthly!$A$2:$A$106</c:f>
              <c:numCache>
                <c:formatCode>mmm\-yy</c:formatCode>
                <c:ptCount val="105"/>
                <c:pt idx="0">
                  <c:v>Jan-18</c:v>
                </c:pt>
                <c:pt idx="1">
                  <c:v>Feb-18</c:v>
                </c:pt>
                <c:pt idx="2">
                  <c:v>Mar-18</c:v>
                </c:pt>
                <c:pt idx="3">
                  <c:v>Apr-18</c:v>
                </c:pt>
                <c:pt idx="4">
                  <c:v>May-18</c:v>
                </c:pt>
                <c:pt idx="5">
                  <c:v>Jun-18</c:v>
                </c:pt>
                <c:pt idx="6">
                  <c:v>Jul-18</c:v>
                </c:pt>
                <c:pt idx="7">
                  <c:v>Aug-18</c:v>
                </c:pt>
                <c:pt idx="8">
                  <c:v>Sep-18</c:v>
                </c:pt>
                <c:pt idx="9">
                  <c:v>Oct-18</c:v>
                </c:pt>
                <c:pt idx="10">
                  <c:v>Nov-18</c:v>
                </c:pt>
                <c:pt idx="11">
                  <c:v>Dec-18</c:v>
                </c:pt>
                <c:pt idx="12">
                  <c:v>Jan-19</c:v>
                </c:pt>
                <c:pt idx="13">
                  <c:v>Feb-19</c:v>
                </c:pt>
                <c:pt idx="14">
                  <c:v>Mar-19</c:v>
                </c:pt>
                <c:pt idx="15">
                  <c:v>Apr-19</c:v>
                </c:pt>
                <c:pt idx="16">
                  <c:v>May-19</c:v>
                </c:pt>
                <c:pt idx="17">
                  <c:v>Jun-19</c:v>
                </c:pt>
                <c:pt idx="18">
                  <c:v>Jul-19</c:v>
                </c:pt>
                <c:pt idx="19">
                  <c:v>Aug-19</c:v>
                </c:pt>
                <c:pt idx="20">
                  <c:v>Sep-19</c:v>
                </c:pt>
                <c:pt idx="21">
                  <c:v>Oct-19</c:v>
                </c:pt>
                <c:pt idx="22">
                  <c:v>Nov-19</c:v>
                </c:pt>
                <c:pt idx="23">
                  <c:v>Dec-19</c:v>
                </c:pt>
                <c:pt idx="24">
                  <c:v>Jan-20</c:v>
                </c:pt>
                <c:pt idx="25">
                  <c:v>Feb-20</c:v>
                </c:pt>
                <c:pt idx="26">
                  <c:v>Mar-20</c:v>
                </c:pt>
                <c:pt idx="27">
                  <c:v>Apr-20</c:v>
                </c:pt>
                <c:pt idx="28">
                  <c:v>May-20</c:v>
                </c:pt>
                <c:pt idx="29">
                  <c:v>Jun-20</c:v>
                </c:pt>
                <c:pt idx="30">
                  <c:v>Jul-20</c:v>
                </c:pt>
                <c:pt idx="31">
                  <c:v>Aug-20</c:v>
                </c:pt>
                <c:pt idx="32">
                  <c:v>Sep-20</c:v>
                </c:pt>
                <c:pt idx="33">
                  <c:v>Oct-20</c:v>
                </c:pt>
                <c:pt idx="34">
                  <c:v>Nov-20</c:v>
                </c:pt>
                <c:pt idx="35">
                  <c:v>Dec-20</c:v>
                </c:pt>
                <c:pt idx="36">
                  <c:v>Jan-21</c:v>
                </c:pt>
                <c:pt idx="37">
                  <c:v>Feb-21</c:v>
                </c:pt>
                <c:pt idx="38">
                  <c:v>Mar-21</c:v>
                </c:pt>
                <c:pt idx="39">
                  <c:v>Apr-21</c:v>
                </c:pt>
                <c:pt idx="40">
                  <c:v>May-21</c:v>
                </c:pt>
                <c:pt idx="41">
                  <c:v>Jun-21</c:v>
                </c:pt>
                <c:pt idx="42">
                  <c:v>Jul-21</c:v>
                </c:pt>
                <c:pt idx="43">
                  <c:v>Aug-21</c:v>
                </c:pt>
                <c:pt idx="44">
                  <c:v>Sep-21</c:v>
                </c:pt>
                <c:pt idx="45">
                  <c:v>Oct-21</c:v>
                </c:pt>
                <c:pt idx="46">
                  <c:v>Nov-21</c:v>
                </c:pt>
                <c:pt idx="47">
                  <c:v>Dec-21</c:v>
                </c:pt>
                <c:pt idx="48">
                  <c:v>Jan-22</c:v>
                </c:pt>
                <c:pt idx="49">
                  <c:v>Feb-22</c:v>
                </c:pt>
                <c:pt idx="50">
                  <c:v>Mar-22</c:v>
                </c:pt>
                <c:pt idx="51">
                  <c:v>Apr-22</c:v>
                </c:pt>
                <c:pt idx="52">
                  <c:v>May-22</c:v>
                </c:pt>
                <c:pt idx="53">
                  <c:v>Jun-22</c:v>
                </c:pt>
                <c:pt idx="54">
                  <c:v>Jul-22</c:v>
                </c:pt>
                <c:pt idx="55">
                  <c:v>Aug-22</c:v>
                </c:pt>
                <c:pt idx="56">
                  <c:v>Sep-22</c:v>
                </c:pt>
                <c:pt idx="57">
                  <c:v>Oct-22</c:v>
                </c:pt>
                <c:pt idx="58">
                  <c:v>Nov-22</c:v>
                </c:pt>
                <c:pt idx="59">
                  <c:v>Dec-22</c:v>
                </c:pt>
                <c:pt idx="60">
                  <c:v>Jan-23</c:v>
                </c:pt>
                <c:pt idx="61">
                  <c:v>Feb-23</c:v>
                </c:pt>
                <c:pt idx="62">
                  <c:v>Mar-23</c:v>
                </c:pt>
                <c:pt idx="63">
                  <c:v>Apr-23</c:v>
                </c:pt>
                <c:pt idx="64">
                  <c:v>May-23</c:v>
                </c:pt>
                <c:pt idx="65">
                  <c:v>Jun-23</c:v>
                </c:pt>
                <c:pt idx="66">
                  <c:v>Jul-23</c:v>
                </c:pt>
                <c:pt idx="67">
                  <c:v>Aug-23</c:v>
                </c:pt>
                <c:pt idx="68">
                  <c:v>Sep-23</c:v>
                </c:pt>
                <c:pt idx="69">
                  <c:v>Oct-23</c:v>
                </c:pt>
                <c:pt idx="70">
                  <c:v>Nov-23</c:v>
                </c:pt>
                <c:pt idx="71">
                  <c:v>Dec-23</c:v>
                </c:pt>
                <c:pt idx="72">
                  <c:v>Jan-24</c:v>
                </c:pt>
                <c:pt idx="73">
                  <c:v>Feb-24</c:v>
                </c:pt>
                <c:pt idx="74">
                  <c:v>Mar-24</c:v>
                </c:pt>
                <c:pt idx="75">
                  <c:v>Apr-24</c:v>
                </c:pt>
                <c:pt idx="76">
                  <c:v>May-24</c:v>
                </c:pt>
                <c:pt idx="77">
                  <c:v>Jun-24</c:v>
                </c:pt>
                <c:pt idx="78">
                  <c:v>Jul-24</c:v>
                </c:pt>
                <c:pt idx="79">
                  <c:v>Aug-24</c:v>
                </c:pt>
                <c:pt idx="80">
                  <c:v>Sep-24</c:v>
                </c:pt>
                <c:pt idx="81">
                  <c:v>Oct-24</c:v>
                </c:pt>
                <c:pt idx="82">
                  <c:v>Nov-24</c:v>
                </c:pt>
                <c:pt idx="83">
                  <c:v>Dec-24</c:v>
                </c:pt>
                <c:pt idx="84">
                  <c:v>Jan-25</c:v>
                </c:pt>
                <c:pt idx="85">
                  <c:v>Feb-25</c:v>
                </c:pt>
                <c:pt idx="86">
                  <c:v>Mar-25</c:v>
                </c:pt>
                <c:pt idx="87">
                  <c:v>Apr-25</c:v>
                </c:pt>
                <c:pt idx="88">
                  <c:v>May-25</c:v>
                </c:pt>
                <c:pt idx="89">
                  <c:v>Jun-25</c:v>
                </c:pt>
                <c:pt idx="90">
                  <c:v>Jul-25</c:v>
                </c:pt>
                <c:pt idx="91">
                  <c:v>Aug-25</c:v>
                </c:pt>
                <c:pt idx="92">
                  <c:v>Sep-25</c:v>
                </c:pt>
                <c:pt idx="93">
                  <c:v>Oct-25</c:v>
                </c:pt>
                <c:pt idx="94">
                  <c:v>Nov-25</c:v>
                </c:pt>
                <c:pt idx="95">
                  <c:v>Dec-25</c:v>
                </c:pt>
                <c:pt idx="96">
                  <c:v>Jan-26</c:v>
                </c:pt>
                <c:pt idx="97">
                  <c:v>Feb-26</c:v>
                </c:pt>
                <c:pt idx="98">
                  <c:v>Mar-26</c:v>
                </c:pt>
                <c:pt idx="99">
                  <c:v>Apr-26</c:v>
                </c:pt>
                <c:pt idx="100">
                  <c:v>May-26</c:v>
                </c:pt>
                <c:pt idx="101">
                  <c:v>Jun-26</c:v>
                </c:pt>
                <c:pt idx="102">
                  <c:v>Jul-26</c:v>
                </c:pt>
                <c:pt idx="103">
                  <c:v>Aug-26</c:v>
                </c:pt>
                <c:pt idx="104">
                  <c:v>Sep-26</c:v>
                </c:pt>
              </c:numCache>
            </c:numRef>
          </c:cat>
          <c:val>
            <c:numRef>
              <c:f>Monthly!$B$2:$B$106</c:f>
              <c:numCache>
                <c:formatCode>0.00</c:formatCode>
                <c:ptCount val="105"/>
                <c:pt idx="0">
                  <c:v>120.972</c:v>
                </c:pt>
                <c:pt idx="1">
                  <c:v>120.845</c:v>
                </c:pt>
                <c:pt idx="2">
                  <c:v>119.2</c:v>
                </c:pt>
                <c:pt idx="3">
                  <c:v>120.722</c:v>
                </c:pt>
                <c:pt idx="4">
                  <c:v>125.275</c:v>
                </c:pt>
                <c:pt idx="5">
                  <c:v>128.035</c:v>
                </c:pt>
                <c:pt idx="6">
                  <c:v>127.204</c:v>
                </c:pt>
                <c:pt idx="7">
                  <c:v>128.595</c:v>
                </c:pt>
                <c:pt idx="8">
                  <c:v>130.295</c:v>
                </c:pt>
                <c:pt idx="9">
                  <c:v>130.512</c:v>
                </c:pt>
                <c:pt idx="10">
                  <c:v>128.055</c:v>
                </c:pt>
                <c:pt idx="11">
                  <c:v>121.696</c:v>
                </c:pt>
                <c:pt idx="12">
                  <c:v>119.5525</c:v>
                </c:pt>
                <c:pt idx="13">
                  <c:v>119.0925</c:v>
                </c:pt>
                <c:pt idx="14">
                  <c:v>120.2825</c:v>
                </c:pt>
                <c:pt idx="15">
                  <c:v>124.06</c:v>
                </c:pt>
                <c:pt idx="16">
                  <c:v>128.28</c:v>
                </c:pt>
                <c:pt idx="17">
                  <c:v>128.155</c:v>
                </c:pt>
                <c:pt idx="18">
                  <c:v>127.264</c:v>
                </c:pt>
                <c:pt idx="19">
                  <c:v>128.28</c:v>
                </c:pt>
                <c:pt idx="20">
                  <c:v>127.254</c:v>
                </c:pt>
                <c:pt idx="21">
                  <c:v>126.4875</c:v>
                </c:pt>
                <c:pt idx="22">
                  <c:v>125.5125</c:v>
                </c:pt>
                <c:pt idx="23">
                  <c:v>124.602</c:v>
                </c:pt>
                <c:pt idx="24">
                  <c:v>126.9425</c:v>
                </c:pt>
                <c:pt idx="25">
                  <c:v>124.4575</c:v>
                </c:pt>
                <c:pt idx="26">
                  <c:v>119.418</c:v>
                </c:pt>
                <c:pt idx="27">
                  <c:v>109.0025</c:v>
                </c:pt>
                <c:pt idx="28">
                  <c:v>106.2425</c:v>
                </c:pt>
                <c:pt idx="29">
                  <c:v>106.544</c:v>
                </c:pt>
                <c:pt idx="30">
                  <c:v>111.39</c:v>
                </c:pt>
                <c:pt idx="31">
                  <c:v>113.096</c:v>
                </c:pt>
                <c:pt idx="32">
                  <c:v>113.325</c:v>
                </c:pt>
                <c:pt idx="33">
                  <c:v>113.1925</c:v>
                </c:pt>
                <c:pt idx="34">
                  <c:v>112.598</c:v>
                </c:pt>
                <c:pt idx="35">
                  <c:v>114.0825</c:v>
                </c:pt>
                <c:pt idx="36">
                  <c:v>116.64</c:v>
                </c:pt>
                <c:pt idx="37">
                  <c:v>120.1525</c:v>
                </c:pt>
                <c:pt idx="38">
                  <c:v>123.742</c:v>
                </c:pt>
                <c:pt idx="39">
                  <c:v>125.48</c:v>
                </c:pt>
                <c:pt idx="40">
                  <c:v>127.17</c:v>
                </c:pt>
                <c:pt idx="41">
                  <c:v>129.7475</c:v>
                </c:pt>
                <c:pt idx="42">
                  <c:v>132.7125</c:v>
                </c:pt>
                <c:pt idx="43">
                  <c:v>134.604</c:v>
                </c:pt>
                <c:pt idx="44">
                  <c:v>134.89</c:v>
                </c:pt>
                <c:pt idx="45">
                  <c:v>138.635</c:v>
                </c:pt>
                <c:pt idx="46">
                  <c:v>145.778</c:v>
                </c:pt>
                <c:pt idx="47">
                  <c:v>145.7975</c:v>
                </c:pt>
                <c:pt idx="48">
                  <c:v>145.054</c:v>
                </c:pt>
                <c:pt idx="49">
                  <c:v>147.5675</c:v>
                </c:pt>
                <c:pt idx="50">
                  <c:v>160.2325</c:v>
                </c:pt>
                <c:pt idx="51">
                  <c:v>161.8</c:v>
                </c:pt>
                <c:pt idx="52">
                  <c:v>165.84</c:v>
                </c:pt>
                <c:pt idx="53">
                  <c:v>183.825</c:v>
                </c:pt>
                <c:pt idx="54">
                  <c:v>189.425</c:v>
                </c:pt>
                <c:pt idx="55">
                  <c:v>175.172</c:v>
                </c:pt>
                <c:pt idx="56">
                  <c:v>166.5025</c:v>
                </c:pt>
                <c:pt idx="57">
                  <c:v>163.612</c:v>
                </c:pt>
                <c:pt idx="58">
                  <c:v>163.6075</c:v>
                </c:pt>
                <c:pt idx="59">
                  <c:v>155.295</c:v>
                </c:pt>
                <c:pt idx="60">
                  <c:v>149.21</c:v>
                </c:pt>
                <c:pt idx="61">
                  <c:v>147.9325</c:v>
                </c:pt>
                <c:pt idx="62">
                  <c:v>146.73</c:v>
                </c:pt>
                <c:pt idx="63">
                  <c:v>145.8275</c:v>
                </c:pt>
                <c:pt idx="64">
                  <c:v>144.448</c:v>
                </c:pt>
                <c:pt idx="65">
                  <c:v>142.9975</c:v>
                </c:pt>
                <c:pt idx="66">
                  <c:v>143.226</c:v>
                </c:pt>
                <c:pt idx="67">
                  <c:v>148.52</c:v>
                </c:pt>
                <c:pt idx="68">
                  <c:v>153.57</c:v>
                </c:pt>
                <c:pt idx="69">
                  <c:v>155.13</c:v>
                </c:pt>
                <c:pt idx="70">
                  <c:v>151.02</c:v>
                </c:pt>
                <c:pt idx="71">
                  <c:v>142.8375</c:v>
                </c:pt>
                <c:pt idx="72">
                  <c:v>139.858</c:v>
                </c:pt>
                <c:pt idx="73">
                  <c:v>142.1625</c:v>
                </c:pt>
                <c:pt idx="74">
                  <c:v>144.805</c:v>
                </c:pt>
                <c:pt idx="75">
                  <c:v>148.07</c:v>
                </c:pt>
                <c:pt idx="76">
                  <c:v>148.8125</c:v>
                </c:pt>
                <c:pt idx="77">
                  <c:v>145.76</c:v>
                </c:pt>
                <c:pt idx="78">
                  <c:v>144.442</c:v>
                </c:pt>
                <c:pt idx="79">
                  <c:v>142.325</c:v>
                </c:pt>
                <c:pt idx="80">
                  <c:v>136.796</c:v>
                </c:pt>
                <c:pt idx="81">
                  <c:v>133.9625</c:v>
                </c:pt>
                <c:pt idx="82">
                  <c:v>134.805</c:v>
                </c:pt>
                <c:pt idx="83">
                  <c:v>136.286</c:v>
                </c:pt>
                <c:pt idx="84">
                  <c:v>137.11</c:v>
                </c:pt>
                <c:pt idx="85">
                  <c:v>139.15</c:v>
                </c:pt>
                <c:pt idx="86">
                  <c:v>137.504</c:v>
                </c:pt>
                <c:pt idx="87">
                  <c:v>134.55</c:v>
                </c:pt>
                <c:pt idx="88">
                  <c:v>132.39</c:v>
                </c:pt>
                <c:pt idx="89">
                  <c:v>131.894</c:v>
                </c:pt>
                <c:pt idx="90">
                  <c:v>133.8675</c:v>
                </c:pt>
                <c:pt idx="91">
                  <c:v>134.225</c:v>
                </c:pt>
                <c:pt idx="92">
                  <c:v>133.98</c:v>
                </c:pt>
                <c:pt idx="93">
                  <c:v>134.665</c:v>
                </c:pt>
                <c:pt idx="94">
                  <c:v>135.0425</c:v>
                </c:pt>
                <c:pt idx="95">
                  <c:v>136.338</c:v>
                </c:pt>
                <c:pt idx="96">
                  <c:v>133.2425</c:v>
                </c:pt>
                <c:pt idx="97">
                  <c:v>131.5975</c:v>
                </c:pt>
                <c:pt idx="98">
                  <c:v>140.206</c:v>
                </c:pt>
                <c:pt idx="99">
                  <c:v>156.8575</c:v>
                </c:pt>
                <c:pt idx="100">
                  <c:v>157.45</c:v>
                </c:pt>
                <c:pt idx="101">
                  <c:v>155.302</c:v>
                </c:pt>
                <c:pt idx="102">
                  <c:v>152.1875</c:v>
                </c:pt>
                <c:pt idx="103">
                  <c:v>161.416</c:v>
                </c:pt>
                <c:pt idx="104">
                  <c:v>169.5025</c:v>
                </c:pt>
              </c:numCache>
            </c:numRef>
          </c:val>
          <c:smooth val="0"/>
        </c:ser>
        <c:ser>
          <c:idx val="1"/>
          <c:order val="1"/>
          <c:tx>
            <c:strRef>
              <c:f>Monthly!$C$1</c:f>
              <c:strCache>
                <c:ptCount val="1"/>
                <c:pt idx="0">
                  <c:v>Avg diesel
(p/litre)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Monthly!$A$2:$A$106</c:f>
              <c:numCache>
                <c:formatCode>mmm\-yy</c:formatCode>
                <c:ptCount val="105"/>
                <c:pt idx="0">
                  <c:v>Jan-18</c:v>
                </c:pt>
                <c:pt idx="1">
                  <c:v>Feb-18</c:v>
                </c:pt>
                <c:pt idx="2">
                  <c:v>Mar-18</c:v>
                </c:pt>
                <c:pt idx="3">
                  <c:v>Apr-18</c:v>
                </c:pt>
                <c:pt idx="4">
                  <c:v>May-18</c:v>
                </c:pt>
                <c:pt idx="5">
                  <c:v>Jun-18</c:v>
                </c:pt>
                <c:pt idx="6">
                  <c:v>Jul-18</c:v>
                </c:pt>
                <c:pt idx="7">
                  <c:v>Aug-18</c:v>
                </c:pt>
                <c:pt idx="8">
                  <c:v>Sep-18</c:v>
                </c:pt>
                <c:pt idx="9">
                  <c:v>Oct-18</c:v>
                </c:pt>
                <c:pt idx="10">
                  <c:v>Nov-18</c:v>
                </c:pt>
                <c:pt idx="11">
                  <c:v>Dec-18</c:v>
                </c:pt>
                <c:pt idx="12">
                  <c:v>Jan-19</c:v>
                </c:pt>
                <c:pt idx="13">
                  <c:v>Feb-19</c:v>
                </c:pt>
                <c:pt idx="14">
                  <c:v>Mar-19</c:v>
                </c:pt>
                <c:pt idx="15">
                  <c:v>Apr-19</c:v>
                </c:pt>
                <c:pt idx="16">
                  <c:v>May-19</c:v>
                </c:pt>
                <c:pt idx="17">
                  <c:v>Jun-19</c:v>
                </c:pt>
                <c:pt idx="18">
                  <c:v>Jul-19</c:v>
                </c:pt>
                <c:pt idx="19">
                  <c:v>Aug-19</c:v>
                </c:pt>
                <c:pt idx="20">
                  <c:v>Sep-19</c:v>
                </c:pt>
                <c:pt idx="21">
                  <c:v>Oct-19</c:v>
                </c:pt>
                <c:pt idx="22">
                  <c:v>Nov-19</c:v>
                </c:pt>
                <c:pt idx="23">
                  <c:v>Dec-19</c:v>
                </c:pt>
                <c:pt idx="24">
                  <c:v>Jan-20</c:v>
                </c:pt>
                <c:pt idx="25">
                  <c:v>Feb-20</c:v>
                </c:pt>
                <c:pt idx="26">
                  <c:v>Mar-20</c:v>
                </c:pt>
                <c:pt idx="27">
                  <c:v>Apr-20</c:v>
                </c:pt>
                <c:pt idx="28">
                  <c:v>May-20</c:v>
                </c:pt>
                <c:pt idx="29">
                  <c:v>Jun-20</c:v>
                </c:pt>
                <c:pt idx="30">
                  <c:v>Jul-20</c:v>
                </c:pt>
                <c:pt idx="31">
                  <c:v>Aug-20</c:v>
                </c:pt>
                <c:pt idx="32">
                  <c:v>Sep-20</c:v>
                </c:pt>
                <c:pt idx="33">
                  <c:v>Oct-20</c:v>
                </c:pt>
                <c:pt idx="34">
                  <c:v>Nov-20</c:v>
                </c:pt>
                <c:pt idx="35">
                  <c:v>Dec-20</c:v>
                </c:pt>
                <c:pt idx="36">
                  <c:v>Jan-21</c:v>
                </c:pt>
                <c:pt idx="37">
                  <c:v>Feb-21</c:v>
                </c:pt>
                <c:pt idx="38">
                  <c:v>Mar-21</c:v>
                </c:pt>
                <c:pt idx="39">
                  <c:v>Apr-21</c:v>
                </c:pt>
                <c:pt idx="40">
                  <c:v>May-21</c:v>
                </c:pt>
                <c:pt idx="41">
                  <c:v>Jun-21</c:v>
                </c:pt>
                <c:pt idx="42">
                  <c:v>Jul-21</c:v>
                </c:pt>
                <c:pt idx="43">
                  <c:v>Aug-21</c:v>
                </c:pt>
                <c:pt idx="44">
                  <c:v>Sep-21</c:v>
                </c:pt>
                <c:pt idx="45">
                  <c:v>Oct-21</c:v>
                </c:pt>
                <c:pt idx="46">
                  <c:v>Nov-21</c:v>
                </c:pt>
                <c:pt idx="47">
                  <c:v>Dec-21</c:v>
                </c:pt>
                <c:pt idx="48">
                  <c:v>Jan-22</c:v>
                </c:pt>
                <c:pt idx="49">
                  <c:v>Feb-22</c:v>
                </c:pt>
                <c:pt idx="50">
                  <c:v>Mar-22</c:v>
                </c:pt>
                <c:pt idx="51">
                  <c:v>Apr-22</c:v>
                </c:pt>
                <c:pt idx="52">
                  <c:v>May-22</c:v>
                </c:pt>
                <c:pt idx="53">
                  <c:v>Jun-22</c:v>
                </c:pt>
                <c:pt idx="54">
                  <c:v>Jul-22</c:v>
                </c:pt>
                <c:pt idx="55">
                  <c:v>Aug-22</c:v>
                </c:pt>
                <c:pt idx="56">
                  <c:v>Sep-22</c:v>
                </c:pt>
                <c:pt idx="57">
                  <c:v>Oct-22</c:v>
                </c:pt>
                <c:pt idx="58">
                  <c:v>Nov-22</c:v>
                </c:pt>
                <c:pt idx="59">
                  <c:v>Dec-22</c:v>
                </c:pt>
                <c:pt idx="60">
                  <c:v>Jan-23</c:v>
                </c:pt>
                <c:pt idx="61">
                  <c:v>Feb-23</c:v>
                </c:pt>
                <c:pt idx="62">
                  <c:v>Mar-23</c:v>
                </c:pt>
                <c:pt idx="63">
                  <c:v>Apr-23</c:v>
                </c:pt>
                <c:pt idx="64">
                  <c:v>May-23</c:v>
                </c:pt>
                <c:pt idx="65">
                  <c:v>Jun-23</c:v>
                </c:pt>
                <c:pt idx="66">
                  <c:v>Jul-23</c:v>
                </c:pt>
                <c:pt idx="67">
                  <c:v>Aug-23</c:v>
                </c:pt>
                <c:pt idx="68">
                  <c:v>Sep-23</c:v>
                </c:pt>
                <c:pt idx="69">
                  <c:v>Oct-23</c:v>
                </c:pt>
                <c:pt idx="70">
                  <c:v>Nov-23</c:v>
                </c:pt>
                <c:pt idx="71">
                  <c:v>Dec-23</c:v>
                </c:pt>
                <c:pt idx="72">
                  <c:v>Jan-24</c:v>
                </c:pt>
                <c:pt idx="73">
                  <c:v>Feb-24</c:v>
                </c:pt>
                <c:pt idx="74">
                  <c:v>Mar-24</c:v>
                </c:pt>
                <c:pt idx="75">
                  <c:v>Apr-24</c:v>
                </c:pt>
                <c:pt idx="76">
                  <c:v>May-24</c:v>
                </c:pt>
                <c:pt idx="77">
                  <c:v>Jun-24</c:v>
                </c:pt>
                <c:pt idx="78">
                  <c:v>Jul-24</c:v>
                </c:pt>
                <c:pt idx="79">
                  <c:v>Aug-24</c:v>
                </c:pt>
                <c:pt idx="80">
                  <c:v>Sep-24</c:v>
                </c:pt>
                <c:pt idx="81">
                  <c:v>Oct-24</c:v>
                </c:pt>
                <c:pt idx="82">
                  <c:v>Nov-24</c:v>
                </c:pt>
                <c:pt idx="83">
                  <c:v>Dec-24</c:v>
                </c:pt>
                <c:pt idx="84">
                  <c:v>Jan-25</c:v>
                </c:pt>
                <c:pt idx="85">
                  <c:v>Feb-25</c:v>
                </c:pt>
                <c:pt idx="86">
                  <c:v>Mar-25</c:v>
                </c:pt>
                <c:pt idx="87">
                  <c:v>Apr-25</c:v>
                </c:pt>
                <c:pt idx="88">
                  <c:v>May-25</c:v>
                </c:pt>
                <c:pt idx="89">
                  <c:v>Jun-25</c:v>
                </c:pt>
                <c:pt idx="90">
                  <c:v>Jul-25</c:v>
                </c:pt>
                <c:pt idx="91">
                  <c:v>Aug-25</c:v>
                </c:pt>
                <c:pt idx="92">
                  <c:v>Sep-25</c:v>
                </c:pt>
                <c:pt idx="93">
                  <c:v>Oct-25</c:v>
                </c:pt>
                <c:pt idx="94">
                  <c:v>Nov-25</c:v>
                </c:pt>
                <c:pt idx="95">
                  <c:v>Dec-25</c:v>
                </c:pt>
                <c:pt idx="96">
                  <c:v>Jan-26</c:v>
                </c:pt>
                <c:pt idx="97">
                  <c:v>Feb-26</c:v>
                </c:pt>
                <c:pt idx="98">
                  <c:v>Mar-26</c:v>
                </c:pt>
                <c:pt idx="99">
                  <c:v>Apr-26</c:v>
                </c:pt>
                <c:pt idx="100">
                  <c:v>May-26</c:v>
                </c:pt>
                <c:pt idx="101">
                  <c:v>Jun-26</c:v>
                </c:pt>
                <c:pt idx="102">
                  <c:v>Jul-26</c:v>
                </c:pt>
                <c:pt idx="103">
                  <c:v>Aug-26</c:v>
                </c:pt>
                <c:pt idx="104">
                  <c:v>Sep-26</c:v>
                </c:pt>
              </c:numCache>
            </c:numRef>
          </c:cat>
          <c:val>
            <c:numRef>
              <c:f>Monthly!$C$2:$C$106</c:f>
              <c:numCache>
                <c:formatCode>0.00</c:formatCode>
                <c:ptCount val="105"/>
                <c:pt idx="0">
                  <c:v>124.49</c:v>
                </c:pt>
                <c:pt idx="1">
                  <c:v>124.4125</c:v>
                </c:pt>
                <c:pt idx="2">
                  <c:v>122.905</c:v>
                </c:pt>
                <c:pt idx="3">
                  <c:v>124.464</c:v>
                </c:pt>
                <c:pt idx="4">
                  <c:v>129.2425</c:v>
                </c:pt>
                <c:pt idx="5">
                  <c:v>132.0525</c:v>
                </c:pt>
                <c:pt idx="6">
                  <c:v>131.61</c:v>
                </c:pt>
                <c:pt idx="7">
                  <c:v>132.78</c:v>
                </c:pt>
                <c:pt idx="8">
                  <c:v>134.33</c:v>
                </c:pt>
                <c:pt idx="9">
                  <c:v>136.188</c:v>
                </c:pt>
                <c:pt idx="10">
                  <c:v>136.48</c:v>
                </c:pt>
                <c:pt idx="11">
                  <c:v>131.862</c:v>
                </c:pt>
                <c:pt idx="12">
                  <c:v>129.455</c:v>
                </c:pt>
                <c:pt idx="13">
                  <c:v>129.2975</c:v>
                </c:pt>
                <c:pt idx="14">
                  <c:v>130.71</c:v>
                </c:pt>
                <c:pt idx="15">
                  <c:v>133.022</c:v>
                </c:pt>
                <c:pt idx="16">
                  <c:v>135.76</c:v>
                </c:pt>
                <c:pt idx="17">
                  <c:v>134.34</c:v>
                </c:pt>
                <c:pt idx="18">
                  <c:v>131.98</c:v>
                </c:pt>
                <c:pt idx="19">
                  <c:v>132.5775</c:v>
                </c:pt>
                <c:pt idx="20">
                  <c:v>131.776</c:v>
                </c:pt>
                <c:pt idx="21">
                  <c:v>131.3975</c:v>
                </c:pt>
                <c:pt idx="22">
                  <c:v>130.3075</c:v>
                </c:pt>
                <c:pt idx="23">
                  <c:v>129.898</c:v>
                </c:pt>
                <c:pt idx="24">
                  <c:v>132.4675</c:v>
                </c:pt>
                <c:pt idx="25">
                  <c:v>129.2625</c:v>
                </c:pt>
                <c:pt idx="26">
                  <c:v>123.848</c:v>
                </c:pt>
                <c:pt idx="27">
                  <c:v>115.9825</c:v>
                </c:pt>
                <c:pt idx="28">
                  <c:v>113.4225</c:v>
                </c:pt>
                <c:pt idx="29">
                  <c:v>112.67</c:v>
                </c:pt>
                <c:pt idx="30">
                  <c:v>116.7275</c:v>
                </c:pt>
                <c:pt idx="31">
                  <c:v>118.06</c:v>
                </c:pt>
                <c:pt idx="32">
                  <c:v>118.175</c:v>
                </c:pt>
                <c:pt idx="33">
                  <c:v>118.08</c:v>
                </c:pt>
                <c:pt idx="34">
                  <c:v>117.39</c:v>
                </c:pt>
                <c:pt idx="35">
                  <c:v>118.845</c:v>
                </c:pt>
                <c:pt idx="36">
                  <c:v>121.2</c:v>
                </c:pt>
                <c:pt idx="37">
                  <c:v>124.6275</c:v>
                </c:pt>
                <c:pt idx="38">
                  <c:v>128.12</c:v>
                </c:pt>
                <c:pt idx="39">
                  <c:v>129.5</c:v>
                </c:pt>
                <c:pt idx="40">
                  <c:v>130.96</c:v>
                </c:pt>
                <c:pt idx="41">
                  <c:v>133.3775</c:v>
                </c:pt>
                <c:pt idx="42">
                  <c:v>135.3925</c:v>
                </c:pt>
                <c:pt idx="43">
                  <c:v>137.046</c:v>
                </c:pt>
                <c:pt idx="44">
                  <c:v>137.42</c:v>
                </c:pt>
                <c:pt idx="45">
                  <c:v>142.2375</c:v>
                </c:pt>
                <c:pt idx="46">
                  <c:v>149.624</c:v>
                </c:pt>
                <c:pt idx="47">
                  <c:v>149.55</c:v>
                </c:pt>
                <c:pt idx="48">
                  <c:v>148.938</c:v>
                </c:pt>
                <c:pt idx="49">
                  <c:v>151.6775</c:v>
                </c:pt>
                <c:pt idx="50">
                  <c:v>170.4875</c:v>
                </c:pt>
                <c:pt idx="51">
                  <c:v>176.12</c:v>
                </c:pt>
                <c:pt idx="52">
                  <c:v>179.706</c:v>
                </c:pt>
                <c:pt idx="53">
                  <c:v>192.2925</c:v>
                </c:pt>
                <c:pt idx="54">
                  <c:v>197.8425</c:v>
                </c:pt>
                <c:pt idx="55">
                  <c:v>186.562</c:v>
                </c:pt>
                <c:pt idx="56">
                  <c:v>181.6575</c:v>
                </c:pt>
                <c:pt idx="57">
                  <c:v>183.946</c:v>
                </c:pt>
                <c:pt idx="58">
                  <c:v>187.945</c:v>
                </c:pt>
                <c:pt idx="59">
                  <c:v>179.1525</c:v>
                </c:pt>
                <c:pt idx="60">
                  <c:v>172.076</c:v>
                </c:pt>
                <c:pt idx="61">
                  <c:v>169.47</c:v>
                </c:pt>
                <c:pt idx="62">
                  <c:v>166.4525</c:v>
                </c:pt>
                <c:pt idx="63">
                  <c:v>162.4675</c:v>
                </c:pt>
                <c:pt idx="64">
                  <c:v>154.692</c:v>
                </c:pt>
                <c:pt idx="65">
                  <c:v>145.69</c:v>
                </c:pt>
                <c:pt idx="66">
                  <c:v>145.194</c:v>
                </c:pt>
                <c:pt idx="67">
                  <c:v>151.065</c:v>
                </c:pt>
                <c:pt idx="68">
                  <c:v>157.3925</c:v>
                </c:pt>
                <c:pt idx="69">
                  <c:v>162.18</c:v>
                </c:pt>
                <c:pt idx="70">
                  <c:v>158.9675</c:v>
                </c:pt>
                <c:pt idx="71">
                  <c:v>151.4325</c:v>
                </c:pt>
                <c:pt idx="72">
                  <c:v>148.264</c:v>
                </c:pt>
                <c:pt idx="73">
                  <c:v>151.25</c:v>
                </c:pt>
                <c:pt idx="74">
                  <c:v>154.1325</c:v>
                </c:pt>
                <c:pt idx="75">
                  <c:v>157.142</c:v>
                </c:pt>
                <c:pt idx="76">
                  <c:v>156.3075</c:v>
                </c:pt>
                <c:pt idx="77">
                  <c:v>151.5175</c:v>
                </c:pt>
                <c:pt idx="78">
                  <c:v>150.352</c:v>
                </c:pt>
                <c:pt idx="79">
                  <c:v>147.7875</c:v>
                </c:pt>
                <c:pt idx="80">
                  <c:v>141.814</c:v>
                </c:pt>
                <c:pt idx="81">
                  <c:v>139.1275</c:v>
                </c:pt>
                <c:pt idx="82">
                  <c:v>140.465</c:v>
                </c:pt>
                <c:pt idx="83">
                  <c:v>142.614</c:v>
                </c:pt>
                <c:pt idx="84">
                  <c:v>144.1175</c:v>
                </c:pt>
                <c:pt idx="85">
                  <c:v>146.4225</c:v>
                </c:pt>
                <c:pt idx="86">
                  <c:v>144.834</c:v>
                </c:pt>
                <c:pt idx="87">
                  <c:v>141.69</c:v>
                </c:pt>
                <c:pt idx="88">
                  <c:v>139.05</c:v>
                </c:pt>
                <c:pt idx="89">
                  <c:v>138.492</c:v>
                </c:pt>
                <c:pt idx="90">
                  <c:v>141.3825</c:v>
                </c:pt>
                <c:pt idx="91">
                  <c:v>142.1775</c:v>
                </c:pt>
                <c:pt idx="92">
                  <c:v>141.836</c:v>
                </c:pt>
                <c:pt idx="93">
                  <c:v>142.775</c:v>
                </c:pt>
                <c:pt idx="94">
                  <c:v>143.8225</c:v>
                </c:pt>
                <c:pt idx="95">
                  <c:v>145.722</c:v>
                </c:pt>
                <c:pt idx="96">
                  <c:v>142.475</c:v>
                </c:pt>
                <c:pt idx="97">
                  <c:v>141.115</c:v>
                </c:pt>
                <c:pt idx="98">
                  <c:v>158.668</c:v>
                </c:pt>
                <c:pt idx="99">
                  <c:v>189.985</c:v>
                </c:pt>
                <c:pt idx="100">
                  <c:v>187.14</c:v>
                </c:pt>
                <c:pt idx="101">
                  <c:v>176.44</c:v>
                </c:pt>
                <c:pt idx="102">
                  <c:v>167.585</c:v>
                </c:pt>
                <c:pt idx="103">
                  <c:v>181.984</c:v>
                </c:pt>
                <c:pt idx="104">
                  <c:v>192.5475</c:v>
                </c:pt>
              </c:numCache>
            </c:numRef>
          </c:val>
          <c:smooth val="0"/>
        </c:ser>
        <c:hiLowLines>
          <c:spPr>
            <a:ln w="0">
              <a:noFill/>
            </a:ln>
          </c:spPr>
        </c:hiLowLines>
        <c:marker val="0"/>
        <c:axId val="25716552"/>
        <c:axId val="56895252"/>
      </c:lineChart>
      <c:dateAx>
        <c:axId val="25716552"/>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895252"/>
        <c:crosses val="autoZero"/>
        <c:auto val="1"/>
        <c:lblOffset val="100"/>
        <c:baseTimeUnit val="months"/>
        <c:noMultiLvlLbl val="0"/>
      </c:dateAx>
      <c:valAx>
        <c:axId val="56895252"/>
        <c:scaling>
          <c:orientation val="minMax"/>
        </c:scaling>
        <c:delete val="0"/>
        <c:axPos val="l"/>
        <c:majorGridlines>
          <c:spPr>
            <a:ln w="9360">
              <a:solidFill>
                <a:srgbClr val="878787"/>
              </a:solidFill>
              <a:round/>
            </a:ln>
          </c:spPr>
        </c:majorGridlines>
        <c:title>
          <c:tx>
            <c:rich>
              <a:bodyPr rot="-5400000"/>
              <a:lstStyle/>
              <a:p>
                <a:pPr>
                  <a:defRPr b="1" lang="en-GB" sz="1000" spc="-1" strike="noStrike">
                    <a:solidFill>
                      <a:srgbClr val="000000"/>
                    </a:solidFill>
                    <a:latin typeface="Calibri"/>
                  </a:defRPr>
                </a:pPr>
                <a:r>
                  <a:rPr b="1" lang="en-GB" sz="1000" spc="-1" strike="noStrike">
                    <a:solidFill>
                      <a:srgbClr val="000000"/>
                    </a:solidFill>
                    <a:latin typeface="Calibri"/>
                  </a:rPr>
                  <a:t>Pence per litre</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7165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GB" sz="1800" spc="-1" strike="noStrike">
                <a:solidFill>
                  <a:srgbClr val="000000"/>
                </a:solidFill>
                <a:latin typeface="Calibri"/>
              </a:defRPr>
            </a:pPr>
            <a:r>
              <a:rPr b="1" lang="en-GB" sz="1800" spc="-1" strike="noStrike">
                <a:solidFill>
                  <a:srgbClr val="000000"/>
                </a:solidFill>
                <a:latin typeface="Calibri"/>
              </a:rPr>
              <a:t>Annual average pump prices (p/litre)</a:t>
            </a:r>
          </a:p>
        </c:rich>
      </c:tx>
      <c:overlay val="0"/>
      <c:spPr>
        <a:noFill/>
        <a:ln w="0">
          <a:noFill/>
        </a:ln>
      </c:spPr>
    </c:title>
    <c:autoTitleDeleted val="0"/>
    <c:plotArea>
      <c:barChart>
        <c:barDir val="col"/>
        <c:grouping val="clustered"/>
        <c:varyColors val="0"/>
        <c:ser>
          <c:idx val="0"/>
          <c:order val="0"/>
          <c:tx>
            <c:strRef>
              <c:f>Annual!$B$1</c:f>
              <c:strCache>
                <c:ptCount val="1"/>
                <c:pt idx="0">
                  <c:v>Avg petrol
(p/litre)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Annual!$A$2:$A$10</c:f>
              <c:strCache>
                <c:ptCount val="9"/>
                <c:pt idx="0">
                  <c:v>2018</c:v>
                </c:pt>
                <c:pt idx="1">
                  <c:v>2019</c:v>
                </c:pt>
                <c:pt idx="2">
                  <c:v>2020</c:v>
                </c:pt>
                <c:pt idx="3">
                  <c:v>2021</c:v>
                </c:pt>
                <c:pt idx="4">
                  <c:v>2022</c:v>
                </c:pt>
                <c:pt idx="5">
                  <c:v>2023</c:v>
                </c:pt>
                <c:pt idx="6">
                  <c:v>2024</c:v>
                </c:pt>
                <c:pt idx="7">
                  <c:v>2025</c:v>
                </c:pt>
                <c:pt idx="8">
                  <c:v>2026 (YTD)</c:v>
                </c:pt>
              </c:strCache>
            </c:strRef>
          </c:cat>
          <c:val>
            <c:numRef>
              <c:f>Annual!$B$2:$B$10</c:f>
              <c:numCache>
                <c:formatCode>0.00</c:formatCode>
                <c:ptCount val="9"/>
                <c:pt idx="0">
                  <c:v>125.032641509434</c:v>
                </c:pt>
                <c:pt idx="1">
                  <c:v>124.970576923077</c:v>
                </c:pt>
                <c:pt idx="2">
                  <c:v>114.092692307692</c:v>
                </c:pt>
                <c:pt idx="3">
                  <c:v>131.397884615385</c:v>
                </c:pt>
                <c:pt idx="4">
                  <c:v>164.6425</c:v>
                </c:pt>
                <c:pt idx="5">
                  <c:v>147.650192307692</c:v>
                </c:pt>
                <c:pt idx="6">
                  <c:v>141.467735849057</c:v>
                </c:pt>
                <c:pt idx="7">
                  <c:v>135.049615384615</c:v>
                </c:pt>
                <c:pt idx="8">
                  <c:v>150.97358974359</c:v>
                </c:pt>
              </c:numCache>
            </c:numRef>
          </c:val>
        </c:ser>
        <c:ser>
          <c:idx val="1"/>
          <c:order val="1"/>
          <c:tx>
            <c:strRef>
              <c:f>Annual!$C$1</c:f>
              <c:strCache>
                <c:ptCount val="1"/>
                <c:pt idx="0">
                  <c:v>Avg diesel
(p/litre)</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Annual!$A$2:$A$10</c:f>
              <c:strCache>
                <c:ptCount val="9"/>
                <c:pt idx="0">
                  <c:v>2018</c:v>
                </c:pt>
                <c:pt idx="1">
                  <c:v>2019</c:v>
                </c:pt>
                <c:pt idx="2">
                  <c:v>2020</c:v>
                </c:pt>
                <c:pt idx="3">
                  <c:v>2021</c:v>
                </c:pt>
                <c:pt idx="4">
                  <c:v>2022</c:v>
                </c:pt>
                <c:pt idx="5">
                  <c:v>2023</c:v>
                </c:pt>
                <c:pt idx="6">
                  <c:v>2024</c:v>
                </c:pt>
                <c:pt idx="7">
                  <c:v>2025</c:v>
                </c:pt>
                <c:pt idx="8">
                  <c:v>2026 (YTD)</c:v>
                </c:pt>
              </c:strCache>
            </c:strRef>
          </c:cat>
          <c:val>
            <c:numRef>
              <c:f>Annual!$C$2:$C$10</c:f>
              <c:numCache>
                <c:formatCode>0.00</c:formatCode>
                <c:ptCount val="9"/>
                <c:pt idx="0">
                  <c:v>130.035471698113</c:v>
                </c:pt>
                <c:pt idx="1">
                  <c:v>131.706923076923</c:v>
                </c:pt>
                <c:pt idx="2">
                  <c:v>119.455576923077</c:v>
                </c:pt>
                <c:pt idx="3">
                  <c:v>135.037884615385</c:v>
                </c:pt>
                <c:pt idx="4">
                  <c:v>177.778076923077</c:v>
                </c:pt>
                <c:pt idx="5">
                  <c:v>158.124230769231</c:v>
                </c:pt>
                <c:pt idx="6">
                  <c:v>148.363773584906</c:v>
                </c:pt>
                <c:pt idx="7">
                  <c:v>142.695576923077</c:v>
                </c:pt>
                <c:pt idx="8">
                  <c:v>170.996153846154</c:v>
                </c:pt>
              </c:numCache>
            </c:numRef>
          </c:val>
        </c:ser>
        <c:gapWidth val="150"/>
        <c:overlap val="0"/>
        <c:axId val="82501313"/>
        <c:axId val="67715356"/>
      </c:barChart>
      <c:catAx>
        <c:axId val="8250131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715356"/>
        <c:crosses val="autoZero"/>
        <c:auto val="1"/>
        <c:lblAlgn val="ctr"/>
        <c:lblOffset val="100"/>
        <c:noMultiLvlLbl val="0"/>
      </c:catAx>
      <c:valAx>
        <c:axId val="67715356"/>
        <c:scaling>
          <c:orientation val="minMax"/>
        </c:scaling>
        <c:delete val="0"/>
        <c:axPos val="l"/>
        <c:majorGridlines>
          <c:spPr>
            <a:ln w="9360">
              <a:solidFill>
                <a:srgbClr val="878787"/>
              </a:solidFill>
              <a:round/>
            </a:ln>
          </c:spPr>
        </c:majorGridlines>
        <c:title>
          <c:tx>
            <c:rich>
              <a:bodyPr rot="-5400000"/>
              <a:lstStyle/>
              <a:p>
                <a:pPr>
                  <a:defRPr b="1" lang="en-GB" sz="1000" spc="-1" strike="noStrike">
                    <a:solidFill>
                      <a:srgbClr val="000000"/>
                    </a:solidFill>
                    <a:latin typeface="Calibri"/>
                  </a:defRPr>
                </a:pPr>
                <a:r>
                  <a:rPr b="1" lang="en-GB" sz="1000" spc="-1" strike="noStrike">
                    <a:solidFill>
                      <a:srgbClr val="000000"/>
                    </a:solidFill>
                    <a:latin typeface="Calibri"/>
                  </a:rPr>
                  <a:t>Pence per litre</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50131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image" Target="../media/image1.png"/><Relationship Id="rId5"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21</xdr:col>
      <xdr:colOff>580320</xdr:colOff>
      <xdr:row>19</xdr:row>
      <xdr:rowOff>120600</xdr:rowOff>
    </xdr:to>
    <xdr:graphicFrame>
      <xdr:nvGraphicFramePr>
        <xdr:cNvPr id="0" name="Chart 1"/>
        <xdr:cNvGraphicFramePr/>
      </xdr:nvGraphicFramePr>
      <xdr:xfrm>
        <a:off x="11183760" y="389160"/>
        <a:ext cx="7910640" cy="359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14</xdr:col>
      <xdr:colOff>77400</xdr:colOff>
      <xdr:row>18</xdr:row>
      <xdr:rowOff>160560</xdr:rowOff>
    </xdr:to>
    <xdr:graphicFrame>
      <xdr:nvGraphicFramePr>
        <xdr:cNvPr id="1" name="Chart 1"/>
        <xdr:cNvGraphicFramePr/>
      </xdr:nvGraphicFramePr>
      <xdr:xfrm>
        <a:off x="0" y="389160"/>
        <a:ext cx="862956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20</xdr:row>
      <xdr:rowOff>160920</xdr:rowOff>
    </xdr:from>
    <xdr:to>
      <xdr:col>14</xdr:col>
      <xdr:colOff>77400</xdr:colOff>
      <xdr:row>37</xdr:row>
      <xdr:rowOff>160920</xdr:rowOff>
    </xdr:to>
    <xdr:graphicFrame>
      <xdr:nvGraphicFramePr>
        <xdr:cNvPr id="2" name="Chart 2"/>
        <xdr:cNvGraphicFramePr/>
      </xdr:nvGraphicFramePr>
      <xdr:xfrm>
        <a:off x="0" y="4008960"/>
        <a:ext cx="8629560" cy="323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39</xdr:row>
      <xdr:rowOff>160920</xdr:rowOff>
    </xdr:from>
    <xdr:to>
      <xdr:col>14</xdr:col>
      <xdr:colOff>77400</xdr:colOff>
      <xdr:row>56</xdr:row>
      <xdr:rowOff>160920</xdr:rowOff>
    </xdr:to>
    <xdr:graphicFrame>
      <xdr:nvGraphicFramePr>
        <xdr:cNvPr id="3" name="Chart 3"/>
        <xdr:cNvGraphicFramePr/>
      </xdr:nvGraphicFramePr>
      <xdr:xfrm>
        <a:off x="0" y="7628400"/>
        <a:ext cx="8629560" cy="3238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59</xdr:row>
      <xdr:rowOff>0</xdr:rowOff>
    </xdr:from>
    <xdr:to>
      <xdr:col>11</xdr:col>
      <xdr:colOff>23400</xdr:colOff>
      <xdr:row>85</xdr:row>
      <xdr:rowOff>164160</xdr:rowOff>
    </xdr:to>
    <xdr:pic>
      <xdr:nvPicPr>
        <xdr:cNvPr id="4" name="Picture 5" descr=""/>
        <xdr:cNvPicPr/>
      </xdr:nvPicPr>
      <xdr:blipFill>
        <a:blip r:embed="rId4"/>
        <a:stretch/>
      </xdr:blipFill>
      <xdr:spPr>
        <a:xfrm>
          <a:off x="0" y="11277720"/>
          <a:ext cx="6742800" cy="5117040"/>
        </a:xfrm>
        <a:prstGeom prst="rect">
          <a:avLst/>
        </a:prstGeom>
        <a:ln w="0">
          <a:noFill/>
        </a:ln>
      </xdr:spPr>
    </xdr:pic>
    <xdr:clientData/>
  </xdr:twoCellAnchor>
  <xdr:twoCellAnchor editAs="oneCell">
    <xdr:from>
      <xdr:col>0</xdr:col>
      <xdr:colOff>0</xdr:colOff>
      <xdr:row>87</xdr:row>
      <xdr:rowOff>0</xdr:rowOff>
    </xdr:from>
    <xdr:to>
      <xdr:col>11</xdr:col>
      <xdr:colOff>506880</xdr:colOff>
      <xdr:row>110</xdr:row>
      <xdr:rowOff>151200</xdr:rowOff>
    </xdr:to>
    <xdr:pic>
      <xdr:nvPicPr>
        <xdr:cNvPr id="5" name="Picture 7" descr=""/>
        <xdr:cNvPicPr/>
      </xdr:nvPicPr>
      <xdr:blipFill>
        <a:blip r:embed="rId5"/>
        <a:stretch/>
      </xdr:blipFill>
      <xdr:spPr>
        <a:xfrm>
          <a:off x="0" y="16611480"/>
          <a:ext cx="7226280" cy="45327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statistics/weekly-road-fuel-prices" TargetMode="External"/><Relationship Id="rId2" Type="http://schemas.openxmlformats.org/officeDocument/2006/relationships/hyperlink" Target="https://assets.publishing.service.gov.uk/media/696939b3448fedc1eb424870/fossil-fuel-price-assumptions-2025.pdf"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55"/>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A5" activeCellId="0" sqref="A5"/>
    </sheetView>
  </sheetViews>
  <sheetFormatPr defaultColWidth="8.6679687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24" hidden="false" customHeight="tru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c r="B4" s="5"/>
    </row>
    <row r="5" customFormat="false" ht="57" hidden="false" customHeight="true" outlineLevel="0" collapsed="false">
      <c r="A5" s="6" t="s">
        <v>4</v>
      </c>
      <c r="B5" s="7" t="s">
        <v>5</v>
      </c>
    </row>
    <row r="7" customFormat="false" ht="15" hidden="false" customHeight="false" outlineLevel="0" collapsed="false">
      <c r="A7" s="4" t="s">
        <v>6</v>
      </c>
      <c r="B7" s="5"/>
    </row>
    <row r="8" customFormat="false" ht="30" hidden="false" customHeight="true" outlineLevel="0" collapsed="false">
      <c r="A8" s="6" t="s">
        <v>7</v>
      </c>
      <c r="B8" s="8" t="s">
        <v>8</v>
      </c>
    </row>
    <row r="9" customFormat="false" ht="30" hidden="false" customHeight="true" outlineLevel="0" collapsed="false">
      <c r="A9" s="6" t="s">
        <v>9</v>
      </c>
      <c r="B9" s="8" t="s">
        <v>10</v>
      </c>
    </row>
    <row r="10" customFormat="false" ht="30" hidden="false" customHeight="true" outlineLevel="0" collapsed="false">
      <c r="A10" s="6" t="s">
        <v>11</v>
      </c>
      <c r="B10" s="7" t="s">
        <v>12</v>
      </c>
    </row>
    <row r="11" customFormat="false" ht="43.5" hidden="false" customHeight="true" outlineLevel="0" collapsed="false">
      <c r="A11" s="6" t="s">
        <v>13</v>
      </c>
      <c r="B11" s="7" t="s">
        <v>14</v>
      </c>
    </row>
    <row r="12" customFormat="false" ht="43.5" hidden="false" customHeight="true" outlineLevel="0" collapsed="false">
      <c r="A12" s="6" t="s">
        <v>15</v>
      </c>
      <c r="B12" s="7" t="s">
        <v>16</v>
      </c>
    </row>
    <row r="14" customFormat="false" ht="15" hidden="false" customHeight="false" outlineLevel="0" collapsed="false">
      <c r="A14" s="4" t="s">
        <v>17</v>
      </c>
      <c r="B14" s="5"/>
    </row>
    <row r="15" customFormat="false" ht="30" hidden="false" customHeight="true" outlineLevel="0" collapsed="false">
      <c r="A15" s="6" t="s">
        <v>18</v>
      </c>
      <c r="B15" s="7" t="s">
        <v>19</v>
      </c>
    </row>
    <row r="16" customFormat="false" ht="30" hidden="false" customHeight="true" outlineLevel="0" collapsed="false">
      <c r="A16" s="6" t="s">
        <v>20</v>
      </c>
      <c r="B16" s="7" t="s">
        <v>21</v>
      </c>
    </row>
    <row r="17" customFormat="false" ht="16.5" hidden="false" customHeight="true" outlineLevel="0" collapsed="false">
      <c r="A17" s="6" t="s">
        <v>22</v>
      </c>
      <c r="B17" s="7" t="s">
        <v>23</v>
      </c>
    </row>
    <row r="19" customFormat="false" ht="15" hidden="false" customHeight="false" outlineLevel="0" collapsed="false">
      <c r="A19" s="4" t="s">
        <v>24</v>
      </c>
      <c r="B19" s="5"/>
    </row>
    <row r="20" customFormat="false" ht="30" hidden="false" customHeight="true" outlineLevel="0" collapsed="false">
      <c r="A20" s="6" t="s">
        <v>25</v>
      </c>
      <c r="B20" s="7" t="s">
        <v>26</v>
      </c>
    </row>
    <row r="21" customFormat="false" ht="16.5" hidden="false" customHeight="true" outlineLevel="0" collapsed="false">
      <c r="A21" s="6" t="s">
        <v>27</v>
      </c>
      <c r="B21" s="7" t="s">
        <v>28</v>
      </c>
    </row>
    <row r="22" customFormat="false" ht="16.5" hidden="false" customHeight="true" outlineLevel="0" collapsed="false">
      <c r="A22" s="6" t="s">
        <v>29</v>
      </c>
      <c r="B22" s="7" t="s">
        <v>30</v>
      </c>
    </row>
    <row r="23" customFormat="false" ht="16.5" hidden="false" customHeight="true" outlineLevel="0" collapsed="false">
      <c r="A23" s="6" t="s">
        <v>31</v>
      </c>
      <c r="B23" s="7" t="s">
        <v>32</v>
      </c>
    </row>
    <row r="24" customFormat="false" ht="30" hidden="false" customHeight="true" outlineLevel="0" collapsed="false">
      <c r="A24" s="6" t="s">
        <v>33</v>
      </c>
      <c r="B24" s="7" t="s">
        <v>34</v>
      </c>
    </row>
    <row r="25" customFormat="false" ht="16.5" hidden="false" customHeight="true" outlineLevel="0" collapsed="false">
      <c r="A25" s="6" t="s">
        <v>35</v>
      </c>
      <c r="B25" s="7" t="s">
        <v>36</v>
      </c>
    </row>
    <row r="26" customFormat="false" ht="16.5" hidden="false" customHeight="true" outlineLevel="0" collapsed="false">
      <c r="A26" s="6" t="s">
        <v>37</v>
      </c>
      <c r="B26" s="7" t="s">
        <v>38</v>
      </c>
    </row>
    <row r="27" customFormat="false" ht="16.5" hidden="false" customHeight="true" outlineLevel="0" collapsed="false">
      <c r="A27" s="6" t="s">
        <v>39</v>
      </c>
      <c r="B27" s="7" t="s">
        <v>40</v>
      </c>
    </row>
    <row r="29" customFormat="false" ht="15" hidden="false" customHeight="false" outlineLevel="0" collapsed="false">
      <c r="A29" s="4" t="s">
        <v>41</v>
      </c>
      <c r="B29" s="5"/>
    </row>
    <row r="30" customFormat="false" ht="16.5" hidden="false" customHeight="true" outlineLevel="0" collapsed="false">
      <c r="A30" s="6" t="s">
        <v>42</v>
      </c>
      <c r="B30" s="7" t="s">
        <v>43</v>
      </c>
    </row>
    <row r="31" customFormat="false" ht="30" hidden="false" customHeight="true" outlineLevel="0" collapsed="false">
      <c r="A31" s="6" t="s">
        <v>44</v>
      </c>
      <c r="B31" s="7" t="s">
        <v>45</v>
      </c>
    </row>
    <row r="32" customFormat="false" ht="30" hidden="false" customHeight="true" outlineLevel="0" collapsed="false">
      <c r="A32" s="6" t="s">
        <v>46</v>
      </c>
      <c r="B32" s="7" t="s">
        <v>47</v>
      </c>
    </row>
    <row r="33" customFormat="false" ht="57" hidden="false" customHeight="true" outlineLevel="0" collapsed="false">
      <c r="A33" s="6" t="s">
        <v>33</v>
      </c>
      <c r="B33" s="7" t="s">
        <v>48</v>
      </c>
    </row>
    <row r="35" customFormat="false" ht="15" hidden="false" customHeight="false" outlineLevel="0" collapsed="false">
      <c r="A35" s="4" t="s">
        <v>49</v>
      </c>
      <c r="B35" s="5"/>
    </row>
    <row r="36" customFormat="false" ht="16.5" hidden="false" customHeight="true" outlineLevel="0" collapsed="false">
      <c r="A36" s="6" t="s">
        <v>50</v>
      </c>
      <c r="B36" s="9" t="s">
        <v>51</v>
      </c>
    </row>
    <row r="37" customFormat="false" ht="30" hidden="false" customHeight="true" outlineLevel="0" collapsed="false">
      <c r="A37" s="6" t="s">
        <v>52</v>
      </c>
      <c r="B37" s="9" t="s">
        <v>53</v>
      </c>
    </row>
    <row r="38" customFormat="false" ht="16.5" hidden="false" customHeight="true" outlineLevel="0" collapsed="false">
      <c r="A38" s="6" t="s">
        <v>54</v>
      </c>
      <c r="B38" s="7" t="s">
        <v>55</v>
      </c>
    </row>
    <row r="39" customFormat="false" ht="30" hidden="false" customHeight="true" outlineLevel="0" collapsed="false">
      <c r="A39" s="6" t="s">
        <v>56</v>
      </c>
      <c r="B39" s="7" t="s">
        <v>57</v>
      </c>
    </row>
    <row r="40" customFormat="false" ht="30" hidden="false" customHeight="true" outlineLevel="0" collapsed="false">
      <c r="A40" s="6" t="s">
        <v>58</v>
      </c>
      <c r="B40" s="7" t="s">
        <v>59</v>
      </c>
    </row>
    <row r="41" customFormat="false" ht="16.5" hidden="false" customHeight="true" outlineLevel="0" collapsed="false">
      <c r="A41" s="6" t="s">
        <v>60</v>
      </c>
      <c r="B41" s="7" t="s">
        <v>61</v>
      </c>
    </row>
    <row r="43" customFormat="false" ht="15" hidden="false" customHeight="false" outlineLevel="0" collapsed="false">
      <c r="A43" s="4" t="s">
        <v>62</v>
      </c>
      <c r="B43" s="5"/>
    </row>
    <row r="44" customFormat="false" ht="30" hidden="false" customHeight="true" outlineLevel="0" collapsed="false">
      <c r="A44" s="6" t="s">
        <v>63</v>
      </c>
      <c r="B44" s="7" t="s">
        <v>64</v>
      </c>
    </row>
    <row r="45" customFormat="false" ht="43.5" hidden="false" customHeight="true" outlineLevel="0" collapsed="false">
      <c r="A45" s="6" t="s">
        <v>65</v>
      </c>
      <c r="B45" s="7" t="s">
        <v>66</v>
      </c>
    </row>
    <row r="46" customFormat="false" ht="30" hidden="false" customHeight="true" outlineLevel="0" collapsed="false">
      <c r="A46" s="6" t="s">
        <v>67</v>
      </c>
      <c r="B46" s="7" t="s">
        <v>68</v>
      </c>
    </row>
    <row r="47" customFormat="false" ht="30" hidden="false" customHeight="true" outlineLevel="0" collapsed="false">
      <c r="A47" s="6" t="s">
        <v>69</v>
      </c>
      <c r="B47" s="7" t="s">
        <v>70</v>
      </c>
    </row>
    <row r="48" customFormat="false" ht="30" hidden="false" customHeight="true" outlineLevel="0" collapsed="false">
      <c r="A48" s="6" t="s">
        <v>71</v>
      </c>
      <c r="B48" s="7" t="s">
        <v>72</v>
      </c>
    </row>
    <row r="49" customFormat="false" ht="16.5" hidden="false" customHeight="true" outlineLevel="0" collapsed="false">
      <c r="A49" s="6" t="s">
        <v>73</v>
      </c>
      <c r="B49" s="7" t="s">
        <v>74</v>
      </c>
    </row>
    <row r="51" customFormat="false" ht="15" hidden="false" customHeight="false" outlineLevel="0" collapsed="false">
      <c r="A51" s="4" t="s">
        <v>75</v>
      </c>
      <c r="B51" s="5"/>
    </row>
    <row r="52" customFormat="false" ht="15" hidden="false" customHeight="false" outlineLevel="0" collapsed="false">
      <c r="A52" s="10" t="s">
        <v>76</v>
      </c>
      <c r="B52" s="11" t="s">
        <v>77</v>
      </c>
    </row>
    <row r="53" customFormat="false" ht="15" hidden="false" customHeight="false" outlineLevel="0" collapsed="false">
      <c r="A53" s="11" t="s">
        <v>78</v>
      </c>
      <c r="B53" s="11" t="s">
        <v>79</v>
      </c>
    </row>
    <row r="54" customFormat="false" ht="15" hidden="false" customHeight="false" outlineLevel="0" collapsed="false">
      <c r="A54" s="12" t="s">
        <v>80</v>
      </c>
      <c r="B54" s="11" t="s">
        <v>81</v>
      </c>
    </row>
    <row r="55" customFormat="false" ht="15" hidden="false" customHeight="false" outlineLevel="0" collapsed="false">
      <c r="A55" s="13" t="s">
        <v>82</v>
      </c>
      <c r="B55" s="11" t="s">
        <v>83</v>
      </c>
    </row>
  </sheetData>
  <hyperlinks>
    <hyperlink ref="B36" r:id="rId1" display="DESNZ, Weekly road fuel prices (GOV.UK)."/>
    <hyperlink ref="B37" r:id="rId2" display="DESNZ, Fossil Fuel Price Assumptions 2025 (GOV.UK, January 2026): low, central and high Brent paths in real 2024 prices."/>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3" min="2" style="0" width="22"/>
    <col collapsed="false" customWidth="true" hidden="false" outlineLevel="0" max="4" min="4" style="0" width="18"/>
    <col collapsed="false" customWidth="true" hidden="false" outlineLevel="0" max="5" min="5" style="0" width="10"/>
    <col collapsed="false" customWidth="true" hidden="false" outlineLevel="0" max="8" min="6" style="0" width="24"/>
  </cols>
  <sheetData>
    <row r="1" customFormat="false" ht="42" hidden="false" customHeight="true" outlineLevel="0" collapsed="false">
      <c r="A1" s="14" t="s">
        <v>84</v>
      </c>
      <c r="B1" s="14" t="s">
        <v>85</v>
      </c>
      <c r="C1" s="14" t="s">
        <v>86</v>
      </c>
      <c r="D1" s="14" t="s">
        <v>87</v>
      </c>
      <c r="E1" s="14" t="s">
        <v>88</v>
      </c>
      <c r="F1" s="14" t="s">
        <v>89</v>
      </c>
      <c r="G1" s="14" t="s">
        <v>90</v>
      </c>
      <c r="H1" s="14" t="s">
        <v>91</v>
      </c>
    </row>
    <row r="2" customFormat="false" ht="15" hidden="false" customHeight="false" outlineLevel="0" collapsed="false">
      <c r="A2" s="15" t="n">
        <v>43101</v>
      </c>
      <c r="B2" s="16" t="n">
        <v>120.19</v>
      </c>
      <c r="C2" s="16" t="n">
        <v>123.51</v>
      </c>
      <c r="D2" s="16" t="n">
        <v>57.95</v>
      </c>
      <c r="E2" s="10" t="n">
        <v>20</v>
      </c>
      <c r="F2" s="17" t="n">
        <f aca="false">C2-B2</f>
        <v>3.32000000000001</v>
      </c>
      <c r="G2" s="18" t="n">
        <f aca="false">(B2-B2/(1+E2/100)+D2)/B2</f>
        <v>0.648819924009208</v>
      </c>
      <c r="H2" s="18" t="n">
        <f aca="false">(C2-C2/(1+E2/100)+D2)/C2</f>
        <v>0.635859444579386</v>
      </c>
    </row>
    <row r="3" customFormat="false" ht="15" hidden="false" customHeight="false" outlineLevel="0" collapsed="false">
      <c r="A3" s="15" t="n">
        <v>43108</v>
      </c>
      <c r="B3" s="16" t="n">
        <v>120.52</v>
      </c>
      <c r="C3" s="16" t="n">
        <v>123.97</v>
      </c>
      <c r="D3" s="16" t="n">
        <v>57.95</v>
      </c>
      <c r="E3" s="10" t="n">
        <v>20</v>
      </c>
      <c r="F3" s="17" t="n">
        <f aca="false">C3-B3</f>
        <v>3.45</v>
      </c>
      <c r="G3" s="18" t="n">
        <f aca="false">(B3-B3/(1+E3/100)+D3)/B3</f>
        <v>0.647499723420732</v>
      </c>
      <c r="H3" s="18" t="n">
        <f aca="false">(C3-C3/(1+E3/100)+D3)/C3</f>
        <v>0.634118469522196</v>
      </c>
    </row>
    <row r="4" customFormat="false" ht="15" hidden="false" customHeight="false" outlineLevel="0" collapsed="false">
      <c r="A4" s="15" t="n">
        <v>43115</v>
      </c>
      <c r="B4" s="16" t="n">
        <v>120.96</v>
      </c>
      <c r="C4" s="16" t="n">
        <v>124.58</v>
      </c>
      <c r="D4" s="16" t="n">
        <v>57.95</v>
      </c>
      <c r="E4" s="10" t="n">
        <v>20</v>
      </c>
      <c r="F4" s="17" t="n">
        <f aca="false">C4-B4</f>
        <v>3.62</v>
      </c>
      <c r="G4" s="18" t="n">
        <f aca="false">(B4-B4/(1+E4/100)+D4)/B4</f>
        <v>0.645750661375661</v>
      </c>
      <c r="H4" s="18" t="n">
        <f aca="false">(C4-C4/(1+E4/100)+D4)/C4</f>
        <v>0.631829614170279</v>
      </c>
    </row>
    <row r="5" customFormat="false" ht="15" hidden="false" customHeight="false" outlineLevel="0" collapsed="false">
      <c r="A5" s="15" t="n">
        <v>43122</v>
      </c>
      <c r="B5" s="16" t="n">
        <v>121.5</v>
      </c>
      <c r="C5" s="16" t="n">
        <v>125.07</v>
      </c>
      <c r="D5" s="16" t="n">
        <v>57.95</v>
      </c>
      <c r="E5" s="10" t="n">
        <v>20</v>
      </c>
      <c r="F5" s="17" t="n">
        <f aca="false">C5-B5</f>
        <v>3.56999999999999</v>
      </c>
      <c r="G5" s="18" t="n">
        <f aca="false">(B5-B5/(1+E5/100)+D5)/B5</f>
        <v>0.643621399176955</v>
      </c>
      <c r="H5" s="18" t="n">
        <f aca="false">(C5-C5/(1+E5/100)+D5)/C5</f>
        <v>0.630007195970257</v>
      </c>
    </row>
    <row r="6" customFormat="false" ht="15" hidden="false" customHeight="false" outlineLevel="0" collapsed="false">
      <c r="A6" s="15" t="n">
        <v>43129</v>
      </c>
      <c r="B6" s="16" t="n">
        <v>121.69</v>
      </c>
      <c r="C6" s="16" t="n">
        <v>125.32</v>
      </c>
      <c r="D6" s="16" t="n">
        <v>57.95</v>
      </c>
      <c r="E6" s="10" t="n">
        <v>20</v>
      </c>
      <c r="F6" s="17" t="n">
        <f aca="false">C6-B6</f>
        <v>3.63</v>
      </c>
      <c r="G6" s="18" t="n">
        <f aca="false">(B6-B6/(1+E6/100)+D6)/B6</f>
        <v>0.642876708576437</v>
      </c>
      <c r="H6" s="18" t="n">
        <f aca="false">(C6-C6/(1+E6/100)+D6)/C6</f>
        <v>0.62908288115757</v>
      </c>
    </row>
    <row r="7" customFormat="false" ht="15" hidden="false" customHeight="false" outlineLevel="0" collapsed="false">
      <c r="A7" s="15" t="n">
        <v>43136</v>
      </c>
      <c r="B7" s="16" t="n">
        <v>121.73</v>
      </c>
      <c r="C7" s="16" t="n">
        <v>125.36</v>
      </c>
      <c r="D7" s="16" t="n">
        <v>57.95</v>
      </c>
      <c r="E7" s="10" t="n">
        <v>20</v>
      </c>
      <c r="F7" s="17" t="n">
        <f aca="false">C7-B7</f>
        <v>3.63</v>
      </c>
      <c r="G7" s="18" t="n">
        <f aca="false">(B7-B7/(1+E7/100)+D7)/B7</f>
        <v>0.642720227826611</v>
      </c>
      <c r="H7" s="18" t="n">
        <f aca="false">(C7-C7/(1+E7/100)+D7)/C7</f>
        <v>0.628935332907892</v>
      </c>
    </row>
    <row r="8" customFormat="false" ht="15" hidden="false" customHeight="false" outlineLevel="0" collapsed="false">
      <c r="A8" s="15" t="n">
        <v>43143</v>
      </c>
      <c r="B8" s="16" t="n">
        <v>121.58</v>
      </c>
      <c r="C8" s="16" t="n">
        <v>125.02</v>
      </c>
      <c r="D8" s="16" t="n">
        <v>57.95</v>
      </c>
      <c r="E8" s="10" t="n">
        <v>20</v>
      </c>
      <c r="F8" s="17" t="n">
        <f aca="false">C8-B8</f>
        <v>3.44</v>
      </c>
      <c r="G8" s="18" t="n">
        <f aca="false">(B8-B8/(1+E8/100)+D8)/B8</f>
        <v>0.643307561550694</v>
      </c>
      <c r="H8" s="18" t="n">
        <f aca="false">(C8-C8/(1+E8/100)+D8)/C8</f>
        <v>0.630192502532928</v>
      </c>
    </row>
    <row r="9" customFormat="false" ht="15" hidden="false" customHeight="false" outlineLevel="0" collapsed="false">
      <c r="A9" s="15" t="n">
        <v>43150</v>
      </c>
      <c r="B9" s="16" t="n">
        <v>120.52</v>
      </c>
      <c r="C9" s="16" t="n">
        <v>124.18</v>
      </c>
      <c r="D9" s="16" t="n">
        <v>57.95</v>
      </c>
      <c r="E9" s="10" t="n">
        <v>20</v>
      </c>
      <c r="F9" s="17" t="n">
        <f aca="false">C9-B9</f>
        <v>3.66000000000001</v>
      </c>
      <c r="G9" s="18" t="n">
        <f aca="false">(B9-B9/(1+E9/100)+D9)/B9</f>
        <v>0.647499723420732</v>
      </c>
      <c r="H9" s="18" t="n">
        <f aca="false">(C9-C9/(1+E9/100)+D9)/C9</f>
        <v>0.633327964782305</v>
      </c>
    </row>
    <row r="10" customFormat="false" ht="15" hidden="false" customHeight="false" outlineLevel="0" collapsed="false">
      <c r="A10" s="15" t="n">
        <v>43157</v>
      </c>
      <c r="B10" s="16" t="n">
        <v>119.55</v>
      </c>
      <c r="C10" s="16" t="n">
        <v>123.09</v>
      </c>
      <c r="D10" s="16" t="n">
        <v>57.95</v>
      </c>
      <c r="E10" s="10" t="n">
        <v>20</v>
      </c>
      <c r="F10" s="17" t="n">
        <f aca="false">C10-B10</f>
        <v>3.54000000000001</v>
      </c>
      <c r="G10" s="18" t="n">
        <f aca="false">(B10-B10/(1+E10/100)+D10)/B10</f>
        <v>0.651401087411125</v>
      </c>
      <c r="H10" s="18" t="n">
        <f aca="false">(C10-C10/(1+E10/100)+D10)/C10</f>
        <v>0.637460394833049</v>
      </c>
    </row>
    <row r="11" customFormat="false" ht="15" hidden="false" customHeight="false" outlineLevel="0" collapsed="false">
      <c r="A11" s="15" t="n">
        <v>43164</v>
      </c>
      <c r="B11" s="16" t="n">
        <v>119.29</v>
      </c>
      <c r="C11" s="16" t="n">
        <v>122.92</v>
      </c>
      <c r="D11" s="16" t="n">
        <v>57.95</v>
      </c>
      <c r="E11" s="10" t="n">
        <v>20</v>
      </c>
      <c r="F11" s="17" t="n">
        <f aca="false">C11-B11</f>
        <v>3.63</v>
      </c>
      <c r="G11" s="18" t="n">
        <f aca="false">(B11-B11/(1+E11/100)+D11)/B11</f>
        <v>0.652457596333864</v>
      </c>
      <c r="H11" s="18" t="n">
        <f aca="false">(C11-C11/(1+E11/100)+D11)/C11</f>
        <v>0.638111508840438</v>
      </c>
    </row>
    <row r="12" customFormat="false" ht="15" hidden="false" customHeight="false" outlineLevel="0" collapsed="false">
      <c r="A12" s="15" t="n">
        <v>43171</v>
      </c>
      <c r="B12" s="16" t="n">
        <v>119.11</v>
      </c>
      <c r="C12" s="16" t="n">
        <v>122.96</v>
      </c>
      <c r="D12" s="16" t="n">
        <v>57.95</v>
      </c>
      <c r="E12" s="10" t="n">
        <v>20</v>
      </c>
      <c r="F12" s="17" t="n">
        <f aca="false">C12-B12</f>
        <v>3.84999999999999</v>
      </c>
      <c r="G12" s="18" t="n">
        <f aca="false">(B12-B12/(1+E12/100)+D12)/B12</f>
        <v>0.653191727534772</v>
      </c>
      <c r="H12" s="18" t="n">
        <f aca="false">(C12-C12/(1+E12/100)+D12)/C12</f>
        <v>0.637958143569725</v>
      </c>
    </row>
    <row r="13" customFormat="false" ht="15" hidden="false" customHeight="false" outlineLevel="0" collapsed="false">
      <c r="A13" s="15" t="n">
        <v>43178</v>
      </c>
      <c r="B13" s="16" t="n">
        <v>119.17</v>
      </c>
      <c r="C13" s="16" t="n">
        <v>122.84</v>
      </c>
      <c r="D13" s="16" t="n">
        <v>57.95</v>
      </c>
      <c r="E13" s="10" t="n">
        <v>20</v>
      </c>
      <c r="F13" s="17" t="n">
        <f aca="false">C13-B13</f>
        <v>3.67</v>
      </c>
      <c r="G13" s="18" t="n">
        <f aca="false">(B13-B13/(1+E13/100)+D13)/B13</f>
        <v>0.6529467707197</v>
      </c>
      <c r="H13" s="18" t="n">
        <f aca="false">(C13-C13/(1+E13/100)+D13)/C13</f>
        <v>0.638418539020949</v>
      </c>
    </row>
    <row r="14" customFormat="false" ht="15" hidden="false" customHeight="false" outlineLevel="0" collapsed="false">
      <c r="A14" s="15" t="n">
        <v>43185</v>
      </c>
      <c r="B14" s="16" t="n">
        <v>119.23</v>
      </c>
      <c r="C14" s="16" t="n">
        <v>122.9</v>
      </c>
      <c r="D14" s="16" t="n">
        <v>57.95</v>
      </c>
      <c r="E14" s="10" t="n">
        <v>20</v>
      </c>
      <c r="F14" s="17" t="n">
        <f aca="false">C14-B14</f>
        <v>3.67</v>
      </c>
      <c r="G14" s="18" t="n">
        <f aca="false">(B14-B14/(1+E14/100)+D14)/B14</f>
        <v>0.652702060443401</v>
      </c>
      <c r="H14" s="18" t="n">
        <f aca="false">(C14-C14/(1+E14/100)+D14)/C14</f>
        <v>0.638188228912395</v>
      </c>
    </row>
    <row r="15" customFormat="false" ht="15" hidden="false" customHeight="false" outlineLevel="0" collapsed="false">
      <c r="A15" s="15" t="n">
        <v>43192</v>
      </c>
      <c r="B15" s="16" t="n">
        <v>119.43</v>
      </c>
      <c r="C15" s="16" t="n">
        <v>123.05</v>
      </c>
      <c r="D15" s="16" t="n">
        <v>57.95</v>
      </c>
      <c r="E15" s="10" t="n">
        <v>20</v>
      </c>
      <c r="F15" s="17" t="n">
        <f aca="false">C15-B15</f>
        <v>3.61999999999999</v>
      </c>
      <c r="G15" s="18" t="n">
        <f aca="false">(B15-B15/(1+E15/100)+D15)/B15</f>
        <v>0.651888135309386</v>
      </c>
      <c r="H15" s="18" t="n">
        <f aca="false">(C15-C15/(1+E15/100)+D15)/C15</f>
        <v>0.637613436272518</v>
      </c>
    </row>
    <row r="16" customFormat="false" ht="15" hidden="false" customHeight="false" outlineLevel="0" collapsed="false">
      <c r="A16" s="15" t="n">
        <v>43199</v>
      </c>
      <c r="B16" s="16" t="n">
        <v>119.96</v>
      </c>
      <c r="C16" s="16" t="n">
        <v>123.58</v>
      </c>
      <c r="D16" s="16" t="n">
        <v>57.95</v>
      </c>
      <c r="E16" s="10" t="n">
        <v>20</v>
      </c>
      <c r="F16" s="17" t="n">
        <f aca="false">C16-B16</f>
        <v>3.62</v>
      </c>
      <c r="G16" s="18" t="n">
        <f aca="false">(B16-B16/(1+E16/100)+D16)/B16</f>
        <v>0.649744359230855</v>
      </c>
      <c r="H16" s="18" t="n">
        <f aca="false">(C16-C16/(1+E16/100)+D16)/C16</f>
        <v>0.635593677509845</v>
      </c>
    </row>
    <row r="17" customFormat="false" ht="15" hidden="false" customHeight="false" outlineLevel="0" collapsed="false">
      <c r="A17" s="15" t="n">
        <v>43206</v>
      </c>
      <c r="B17" s="16" t="n">
        <v>120.56</v>
      </c>
      <c r="C17" s="16" t="n">
        <v>124.29</v>
      </c>
      <c r="D17" s="16" t="n">
        <v>57.95</v>
      </c>
      <c r="E17" s="10" t="n">
        <v>20</v>
      </c>
      <c r="F17" s="17" t="n">
        <f aca="false">C17-B17</f>
        <v>3.73</v>
      </c>
      <c r="G17" s="18" t="n">
        <f aca="false">(B17-B17/(1+E17/100)+D17)/B17</f>
        <v>0.647340190223402</v>
      </c>
      <c r="H17" s="18" t="n">
        <f aca="false">(C17-C17/(1+E17/100)+D17)/C17</f>
        <v>0.632914956955507</v>
      </c>
    </row>
    <row r="18" customFormat="false" ht="15" hidden="false" customHeight="false" outlineLevel="0" collapsed="false">
      <c r="A18" s="15" t="n">
        <v>43213</v>
      </c>
      <c r="B18" s="16" t="n">
        <v>121.44</v>
      </c>
      <c r="C18" s="16" t="n">
        <v>125.39</v>
      </c>
      <c r="D18" s="16" t="n">
        <v>57.95</v>
      </c>
      <c r="E18" s="10" t="n">
        <v>20</v>
      </c>
      <c r="F18" s="17" t="n">
        <f aca="false">C18-B18</f>
        <v>3.95</v>
      </c>
      <c r="G18" s="18" t="n">
        <f aca="false">(B18-B18/(1+E18/100)+D18)/B18</f>
        <v>0.643857048748353</v>
      </c>
      <c r="H18" s="18" t="n">
        <f aca="false">(C18-C18/(1+E18/100)+D18)/C18</f>
        <v>0.628824733498152</v>
      </c>
    </row>
    <row r="19" customFormat="false" ht="15" hidden="false" customHeight="false" outlineLevel="0" collapsed="false">
      <c r="A19" s="15" t="n">
        <v>43220</v>
      </c>
      <c r="B19" s="16" t="n">
        <v>122.22</v>
      </c>
      <c r="C19" s="16" t="n">
        <v>126.01</v>
      </c>
      <c r="D19" s="16" t="n">
        <v>57.95</v>
      </c>
      <c r="E19" s="10" t="n">
        <v>20</v>
      </c>
      <c r="F19" s="17" t="n">
        <f aca="false">C19-B19</f>
        <v>3.79000000000001</v>
      </c>
      <c r="G19" s="18" t="n">
        <f aca="false">(B19-B19/(1+E19/100)+D19)/B19</f>
        <v>0.640811651120929</v>
      </c>
      <c r="H19" s="18" t="n">
        <f aca="false">(C19-C19/(1+E19/100)+D19)/C19</f>
        <v>0.626550802846335</v>
      </c>
    </row>
    <row r="20" customFormat="false" ht="15" hidden="false" customHeight="false" outlineLevel="0" collapsed="false">
      <c r="A20" s="15" t="n">
        <v>43227</v>
      </c>
      <c r="B20" s="16" t="n">
        <v>123.27</v>
      </c>
      <c r="C20" s="16" t="n">
        <v>126.99</v>
      </c>
      <c r="D20" s="16" t="n">
        <v>57.95</v>
      </c>
      <c r="E20" s="10" t="n">
        <v>20</v>
      </c>
      <c r="F20" s="17" t="n">
        <f aca="false">C20-B20</f>
        <v>3.72</v>
      </c>
      <c r="G20" s="18" t="n">
        <f aca="false">(B20-B20/(1+E20/100)+D20)/B20</f>
        <v>0.636772937454369</v>
      </c>
      <c r="H20" s="18" t="n">
        <f aca="false">(C20-C20/(1+E20/100)+D20)/C20</f>
        <v>0.623001811166234</v>
      </c>
    </row>
    <row r="21" customFormat="false" ht="15" hidden="false" customHeight="false" outlineLevel="0" collapsed="false">
      <c r="A21" s="15" t="n">
        <v>43234</v>
      </c>
      <c r="B21" s="16" t="n">
        <v>124.32</v>
      </c>
      <c r="C21" s="16" t="n">
        <v>128.28</v>
      </c>
      <c r="D21" s="16" t="n">
        <v>57.95</v>
      </c>
      <c r="E21" s="10" t="n">
        <v>20</v>
      </c>
      <c r="F21" s="17" t="n">
        <f aca="false">C21-B21</f>
        <v>3.96000000000001</v>
      </c>
      <c r="G21" s="18" t="n">
        <f aca="false">(B21-B21/(1+E21/100)+D21)/B21</f>
        <v>0.632802445302445</v>
      </c>
      <c r="H21" s="18" t="n">
        <f aca="false">(C21-C21/(1+E21/100)+D21)/C21</f>
        <v>0.618412846897412</v>
      </c>
    </row>
    <row r="22" customFormat="false" ht="15" hidden="false" customHeight="false" outlineLevel="0" collapsed="false">
      <c r="A22" s="15" t="n">
        <v>43241</v>
      </c>
      <c r="B22" s="16" t="n">
        <v>125.93</v>
      </c>
      <c r="C22" s="16" t="n">
        <v>130.04</v>
      </c>
      <c r="D22" s="16" t="n">
        <v>57.95</v>
      </c>
      <c r="E22" s="10" t="n">
        <v>20</v>
      </c>
      <c r="F22" s="17" t="n">
        <f aca="false">C22-B22</f>
        <v>4.10999999999999</v>
      </c>
      <c r="G22" s="18" t="n">
        <f aca="false">(B22-B22/(1+E22/100)+D22)/B22</f>
        <v>0.626842955080865</v>
      </c>
      <c r="H22" s="18" t="n">
        <f aca="false">(C22-C22/(1+E22/100)+D22)/C22</f>
        <v>0.612298779862606</v>
      </c>
    </row>
    <row r="23" customFormat="false" ht="15" hidden="false" customHeight="false" outlineLevel="0" collapsed="false">
      <c r="A23" s="15" t="n">
        <v>43248</v>
      </c>
      <c r="B23" s="16" t="n">
        <v>127.58</v>
      </c>
      <c r="C23" s="16" t="n">
        <v>131.66</v>
      </c>
      <c r="D23" s="16" t="n">
        <v>57.95</v>
      </c>
      <c r="E23" s="10" t="n">
        <v>20</v>
      </c>
      <c r="F23" s="17" t="n">
        <f aca="false">C23-B23</f>
        <v>4.08</v>
      </c>
      <c r="G23" s="18" t="n">
        <f aca="false">(B23-B23/(1+E23/100)+D23)/B23</f>
        <v>0.620891466792078</v>
      </c>
      <c r="H23" s="18" t="n">
        <f aca="false">(C23-C23/(1+E23/100)+D23)/C23</f>
        <v>0.606815534963796</v>
      </c>
    </row>
    <row r="24" customFormat="false" ht="15" hidden="false" customHeight="false" outlineLevel="0" collapsed="false">
      <c r="A24" s="15" t="n">
        <v>43255</v>
      </c>
      <c r="B24" s="16" t="n">
        <v>128.43</v>
      </c>
      <c r="C24" s="16" t="n">
        <v>132.34</v>
      </c>
      <c r="D24" s="16" t="n">
        <v>57.95</v>
      </c>
      <c r="E24" s="10" t="n">
        <v>20</v>
      </c>
      <c r="F24" s="17" t="n">
        <f aca="false">C24-B24</f>
        <v>3.91</v>
      </c>
      <c r="G24" s="18" t="n">
        <f aca="false">(B24-B24/(1+E24/100)+D24)/B24</f>
        <v>0.617885229307794</v>
      </c>
      <c r="H24" s="18" t="n">
        <f aca="false">(C24-C24/(1+E24/100)+D24)/C24</f>
        <v>0.60455392675432</v>
      </c>
    </row>
    <row r="25" customFormat="false" ht="15" hidden="false" customHeight="false" outlineLevel="0" collapsed="false">
      <c r="A25" s="15" t="n">
        <v>43262</v>
      </c>
      <c r="B25" s="16" t="n">
        <v>128.61</v>
      </c>
      <c r="C25" s="16" t="n">
        <v>132.62</v>
      </c>
      <c r="D25" s="16" t="n">
        <v>57.95</v>
      </c>
      <c r="E25" s="10" t="n">
        <v>20</v>
      </c>
      <c r="F25" s="17" t="n">
        <f aca="false">C25-B25</f>
        <v>4.00999999999999</v>
      </c>
      <c r="G25" s="18" t="n">
        <f aca="false">(B25-B25/(1+E25/100)+D25)/B25</f>
        <v>0.617253712775056</v>
      </c>
      <c r="H25" s="18" t="n">
        <f aca="false">(C25-C25/(1+E25/100)+D25)/C25</f>
        <v>0.603629417382999</v>
      </c>
    </row>
    <row r="26" customFormat="false" ht="15" hidden="false" customHeight="false" outlineLevel="0" collapsed="false">
      <c r="A26" s="15" t="n">
        <v>43269</v>
      </c>
      <c r="B26" s="16" t="n">
        <v>127.92</v>
      </c>
      <c r="C26" s="16" t="n">
        <v>131.98</v>
      </c>
      <c r="D26" s="16" t="n">
        <v>57.95</v>
      </c>
      <c r="E26" s="10" t="n">
        <v>20</v>
      </c>
      <c r="F26" s="17" t="n">
        <f aca="false">C26-B26</f>
        <v>4.05999999999999</v>
      </c>
      <c r="G26" s="18" t="n">
        <f aca="false">(B26-B26/(1+E26/100)+D26)/B26</f>
        <v>0.619684177611007</v>
      </c>
      <c r="H26" s="18" t="n">
        <f aca="false">(C26-C26/(1+E26/100)+D26)/C26</f>
        <v>0.605748345708946</v>
      </c>
    </row>
    <row r="27" customFormat="false" ht="15" hidden="false" customHeight="false" outlineLevel="0" collapsed="false">
      <c r="A27" s="15" t="n">
        <v>43276</v>
      </c>
      <c r="B27" s="16" t="n">
        <v>127.18</v>
      </c>
      <c r="C27" s="16" t="n">
        <v>131.27</v>
      </c>
      <c r="D27" s="16" t="n">
        <v>57.95</v>
      </c>
      <c r="E27" s="10" t="n">
        <v>20</v>
      </c>
      <c r="F27" s="17" t="n">
        <f aca="false">C27-B27</f>
        <v>4.09</v>
      </c>
      <c r="G27" s="18" t="n">
        <f aca="false">(B27-B27/(1+E27/100)+D27)/B27</f>
        <v>0.622320071290035</v>
      </c>
      <c r="H27" s="18" t="n">
        <f aca="false">(C27-C27/(1+E27/100)+D27)/C27</f>
        <v>0.608123206622483</v>
      </c>
    </row>
    <row r="28" customFormat="false" ht="15" hidden="false" customHeight="false" outlineLevel="0" collapsed="false">
      <c r="A28" s="15" t="n">
        <v>43283</v>
      </c>
      <c r="B28" s="16" t="n">
        <v>126.54</v>
      </c>
      <c r="C28" s="16" t="n">
        <v>130.83</v>
      </c>
      <c r="D28" s="16" t="n">
        <v>57.95</v>
      </c>
      <c r="E28" s="10" t="n">
        <v>20</v>
      </c>
      <c r="F28" s="17" t="n">
        <f aca="false">C28-B28</f>
        <v>4.29000000000001</v>
      </c>
      <c r="G28" s="18" t="n">
        <f aca="false">(B28-B28/(1+E28/100)+D28)/B28</f>
        <v>0.624624624624625</v>
      </c>
      <c r="H28" s="18" t="n">
        <f aca="false">(C28-C28/(1+E28/100)+D28)/C28</f>
        <v>0.60960788809906</v>
      </c>
    </row>
    <row r="29" customFormat="false" ht="15" hidden="false" customHeight="false" outlineLevel="0" collapsed="false">
      <c r="A29" s="15" t="n">
        <v>43290</v>
      </c>
      <c r="B29" s="16" t="n">
        <v>126.97</v>
      </c>
      <c r="C29" s="16" t="n">
        <v>131.53</v>
      </c>
      <c r="D29" s="16" t="n">
        <v>57.95</v>
      </c>
      <c r="E29" s="10" t="n">
        <v>20</v>
      </c>
      <c r="F29" s="17" t="n">
        <f aca="false">C29-B29</f>
        <v>4.56</v>
      </c>
      <c r="G29" s="18" t="n">
        <f aca="false">(B29-B29/(1+E29/100)+D29)/B29</f>
        <v>0.623073691948229</v>
      </c>
      <c r="H29" s="18" t="n">
        <f aca="false">(C29-C29/(1+E29/100)+D29)/C29</f>
        <v>0.607250563876429</v>
      </c>
    </row>
    <row r="30" customFormat="false" ht="15" hidden="false" customHeight="false" outlineLevel="0" collapsed="false">
      <c r="A30" s="15" t="n">
        <v>43297</v>
      </c>
      <c r="B30" s="16" t="n">
        <v>127.47</v>
      </c>
      <c r="C30" s="16" t="n">
        <v>131.85</v>
      </c>
      <c r="D30" s="16" t="n">
        <v>57.95</v>
      </c>
      <c r="E30" s="10" t="n">
        <v>20</v>
      </c>
      <c r="F30" s="17" t="n">
        <f aca="false">C30-B30</f>
        <v>4.38</v>
      </c>
      <c r="G30" s="18" t="n">
        <f aca="false">(B30-B30/(1+E30/100)+D30)/B30</f>
        <v>0.621283439240606</v>
      </c>
      <c r="H30" s="18" t="n">
        <f aca="false">(C30-C30/(1+E30/100)+D30)/C30</f>
        <v>0.606181266590823</v>
      </c>
    </row>
    <row r="31" customFormat="false" ht="15" hidden="false" customHeight="false" outlineLevel="0" collapsed="false">
      <c r="A31" s="15" t="n">
        <v>43304</v>
      </c>
      <c r="B31" s="16" t="n">
        <v>127.5</v>
      </c>
      <c r="C31" s="16" t="n">
        <v>131.9</v>
      </c>
      <c r="D31" s="16" t="n">
        <v>57.95</v>
      </c>
      <c r="E31" s="10" t="n">
        <v>20</v>
      </c>
      <c r="F31" s="17" t="n">
        <f aca="false">C31-B31</f>
        <v>4.40000000000001</v>
      </c>
      <c r="G31" s="18" t="n">
        <f aca="false">(B31-B31/(1+E31/100)+D31)/B31</f>
        <v>0.621176470588235</v>
      </c>
      <c r="H31" s="18" t="n">
        <f aca="false">(C31-C31/(1+E31/100)+D31)/C31</f>
        <v>0.606014657568865</v>
      </c>
    </row>
    <row r="32" customFormat="false" ht="15" hidden="false" customHeight="false" outlineLevel="0" collapsed="false">
      <c r="A32" s="15" t="n">
        <v>43311</v>
      </c>
      <c r="B32" s="16" t="n">
        <v>127.54</v>
      </c>
      <c r="C32" s="16" t="n">
        <v>131.94</v>
      </c>
      <c r="D32" s="16" t="n">
        <v>57.95</v>
      </c>
      <c r="E32" s="10" t="n">
        <v>20</v>
      </c>
      <c r="F32" s="17" t="n">
        <f aca="false">C32-B32</f>
        <v>4.39999999999999</v>
      </c>
      <c r="G32" s="18" t="n">
        <f aca="false">(B32-B32/(1+E32/100)+D32)/B32</f>
        <v>0.6210339239977</v>
      </c>
      <c r="H32" s="18" t="n">
        <f aca="false">(C32-C32/(1+E32/100)+D32)/C32</f>
        <v>0.605881461270274</v>
      </c>
    </row>
    <row r="33" customFormat="false" ht="15" hidden="false" customHeight="false" outlineLevel="0" collapsed="false">
      <c r="A33" s="15" t="n">
        <v>43318</v>
      </c>
      <c r="B33" s="16" t="n">
        <v>128.02</v>
      </c>
      <c r="C33" s="16" t="n">
        <v>132.39</v>
      </c>
      <c r="D33" s="16" t="n">
        <v>57.95</v>
      </c>
      <c r="E33" s="10" t="n">
        <v>20</v>
      </c>
      <c r="F33" s="17" t="n">
        <f aca="false">C33-B33</f>
        <v>4.36999999999998</v>
      </c>
      <c r="G33" s="18" t="n">
        <f aca="false">(B33-B33/(1+E33/100)+D33)/B33</f>
        <v>0.619330312971931</v>
      </c>
      <c r="H33" s="18" t="n">
        <f aca="false">(C33-C33/(1+E33/100)+D33)/C33</f>
        <v>0.604388548984062</v>
      </c>
    </row>
    <row r="34" customFormat="false" ht="15" hidden="false" customHeight="false" outlineLevel="0" collapsed="false">
      <c r="A34" s="15" t="n">
        <v>43325</v>
      </c>
      <c r="B34" s="16" t="n">
        <v>128.39</v>
      </c>
      <c r="C34" s="16" t="n">
        <v>132.56</v>
      </c>
      <c r="D34" s="16" t="n">
        <v>57.95</v>
      </c>
      <c r="E34" s="10" t="n">
        <v>20</v>
      </c>
      <c r="F34" s="17" t="n">
        <f aca="false">C34-B34</f>
        <v>4.17000000000002</v>
      </c>
      <c r="G34" s="18" t="n">
        <f aca="false">(B34-B34/(1+E34/100)+D34)/B34</f>
        <v>0.618025806786614</v>
      </c>
      <c r="H34" s="18" t="n">
        <f aca="false">(C34-C34/(1+E34/100)+D34)/C34</f>
        <v>0.603827197746932</v>
      </c>
    </row>
    <row r="35" customFormat="false" ht="15" hidden="false" customHeight="false" outlineLevel="0" collapsed="false">
      <c r="A35" s="15" t="n">
        <v>43332</v>
      </c>
      <c r="B35" s="16" t="n">
        <v>128.79</v>
      </c>
      <c r="C35" s="16" t="n">
        <v>132.97</v>
      </c>
      <c r="D35" s="16" t="n">
        <v>57.95</v>
      </c>
      <c r="E35" s="10" t="n">
        <v>20</v>
      </c>
      <c r="F35" s="17" t="n">
        <f aca="false">C35-B35</f>
        <v>4.18000000000001</v>
      </c>
      <c r="G35" s="18" t="n">
        <f aca="false">(B35-B35/(1+E35/100)+D35)/B35</f>
        <v>0.616623961487693</v>
      </c>
      <c r="H35" s="18" t="n">
        <f aca="false">(C35-C35/(1+E35/100)+D35)/C35</f>
        <v>0.602479255972525</v>
      </c>
    </row>
    <row r="36" customFormat="false" ht="15" hidden="false" customHeight="false" outlineLevel="0" collapsed="false">
      <c r="A36" s="15" t="n">
        <v>43339</v>
      </c>
      <c r="B36" s="16" t="n">
        <v>129.18</v>
      </c>
      <c r="C36" s="16" t="n">
        <v>133.2</v>
      </c>
      <c r="D36" s="16" t="n">
        <v>57.95</v>
      </c>
      <c r="E36" s="10" t="n">
        <v>20</v>
      </c>
      <c r="F36" s="17" t="n">
        <f aca="false">C36-B36</f>
        <v>4.01999999999998</v>
      </c>
      <c r="G36" s="18" t="n">
        <f aca="false">(B36-B36/(1+E36/100)+D36)/B36</f>
        <v>0.61526552097848</v>
      </c>
      <c r="H36" s="18" t="n">
        <f aca="false">(C36-C36/(1+E36/100)+D36)/C36</f>
        <v>0.601726726726727</v>
      </c>
    </row>
    <row r="37" customFormat="false" ht="15" hidden="false" customHeight="false" outlineLevel="0" collapsed="false">
      <c r="A37" s="15" t="n">
        <v>43346</v>
      </c>
      <c r="B37" s="16" t="n">
        <v>129.76</v>
      </c>
      <c r="C37" s="16" t="n">
        <v>133.67</v>
      </c>
      <c r="D37" s="16" t="n">
        <v>57.95</v>
      </c>
      <c r="E37" s="10" t="n">
        <v>20</v>
      </c>
      <c r="F37" s="17" t="n">
        <f aca="false">C37-B37</f>
        <v>3.91</v>
      </c>
      <c r="G37" s="18" t="n">
        <f aca="false">(B37-B37/(1+E37/100)+D37)/B37</f>
        <v>0.613260378133991</v>
      </c>
      <c r="H37" s="18" t="n">
        <f aca="false">(C37-C37/(1+E37/100)+D37)/C37</f>
        <v>0.600197002568515</v>
      </c>
    </row>
    <row r="38" customFormat="false" ht="15" hidden="false" customHeight="false" outlineLevel="0" collapsed="false">
      <c r="A38" s="15" t="n">
        <v>43353</v>
      </c>
      <c r="B38" s="16" t="n">
        <v>130.24</v>
      </c>
      <c r="C38" s="16" t="n">
        <v>134.31</v>
      </c>
      <c r="D38" s="16" t="n">
        <v>57.95</v>
      </c>
      <c r="E38" s="10" t="n">
        <v>20</v>
      </c>
      <c r="F38" s="17" t="n">
        <f aca="false">C38-B38</f>
        <v>4.06999999999999</v>
      </c>
      <c r="G38" s="18" t="n">
        <f aca="false">(B38-B38/(1+E38/100)+D38)/B38</f>
        <v>0.611614455364455</v>
      </c>
      <c r="H38" s="18" t="n">
        <f aca="false">(C38-C38/(1+E38/100)+D38)/C38</f>
        <v>0.59813118904028</v>
      </c>
    </row>
    <row r="39" customFormat="false" ht="15" hidden="false" customHeight="false" outlineLevel="0" collapsed="false">
      <c r="A39" s="15" t="n">
        <v>43360</v>
      </c>
      <c r="B39" s="16" t="n">
        <v>130.59</v>
      </c>
      <c r="C39" s="16" t="n">
        <v>134.57</v>
      </c>
      <c r="D39" s="16" t="n">
        <v>57.95</v>
      </c>
      <c r="E39" s="10" t="n">
        <v>20</v>
      </c>
      <c r="F39" s="17" t="n">
        <f aca="false">C39-B39</f>
        <v>3.97999999999999</v>
      </c>
      <c r="G39" s="18" t="n">
        <f aca="false">(B39-B39/(1+E39/100)+D39)/B39</f>
        <v>0.610421931235164</v>
      </c>
      <c r="H39" s="18" t="n">
        <f aca="false">(C39-C39/(1+E39/100)+D39)/C39</f>
        <v>0.597297565083847</v>
      </c>
    </row>
    <row r="40" customFormat="false" ht="15" hidden="false" customHeight="false" outlineLevel="0" collapsed="false">
      <c r="A40" s="15" t="n">
        <v>43367</v>
      </c>
      <c r="B40" s="16" t="n">
        <v>130.59</v>
      </c>
      <c r="C40" s="16" t="n">
        <v>134.77</v>
      </c>
      <c r="D40" s="16" t="n">
        <v>57.95</v>
      </c>
      <c r="E40" s="10" t="n">
        <v>20</v>
      </c>
      <c r="F40" s="17" t="n">
        <f aca="false">C40-B40</f>
        <v>4.18000000000001</v>
      </c>
      <c r="G40" s="18" t="n">
        <f aca="false">(B40-B40/(1+E40/100)+D40)/B40</f>
        <v>0.610421931235164</v>
      </c>
      <c r="H40" s="18" t="n">
        <f aca="false">(C40-C40/(1+E40/100)+D40)/C40</f>
        <v>0.596658504612797</v>
      </c>
    </row>
    <row r="41" customFormat="false" ht="15" hidden="false" customHeight="false" outlineLevel="0" collapsed="false">
      <c r="A41" s="15" t="n">
        <v>43374</v>
      </c>
      <c r="B41" s="16" t="n">
        <v>129.98</v>
      </c>
      <c r="C41" s="16" t="n">
        <v>134.86</v>
      </c>
      <c r="D41" s="16" t="n">
        <v>57.95</v>
      </c>
      <c r="E41" s="10" t="n">
        <v>20</v>
      </c>
      <c r="F41" s="17" t="n">
        <f aca="false">C41-B41</f>
        <v>4.88000000000002</v>
      </c>
      <c r="G41" s="18" t="n">
        <f aca="false">(B41-B41/(1+E41/100)+D41)/B41</f>
        <v>0.612504487869929</v>
      </c>
      <c r="H41" s="18" t="n">
        <f aca="false">(C41-C41/(1+E41/100)+D41)/C41</f>
        <v>0.596371545800583</v>
      </c>
    </row>
    <row r="42" customFormat="false" ht="15" hidden="false" customHeight="false" outlineLevel="0" collapsed="false">
      <c r="A42" s="15" t="n">
        <v>43381</v>
      </c>
      <c r="B42" s="16" t="n">
        <v>130.15</v>
      </c>
      <c r="C42" s="16" t="n">
        <v>135.53</v>
      </c>
      <c r="D42" s="16" t="n">
        <v>57.95</v>
      </c>
      <c r="E42" s="10" t="n">
        <v>20</v>
      </c>
      <c r="F42" s="17" t="n">
        <f aca="false">C42-B42</f>
        <v>5.38</v>
      </c>
      <c r="G42" s="18" t="n">
        <f aca="false">(B42-B42/(1+E42/100)+D42)/B42</f>
        <v>0.611922141119221</v>
      </c>
      <c r="H42" s="18" t="n">
        <f aca="false">(C42-C42/(1+E42/100)+D42)/C42</f>
        <v>0.594247276125827</v>
      </c>
    </row>
    <row r="43" customFormat="false" ht="15" hidden="false" customHeight="false" outlineLevel="0" collapsed="false">
      <c r="A43" s="15" t="n">
        <v>43388</v>
      </c>
      <c r="B43" s="16" t="n">
        <v>130.81</v>
      </c>
      <c r="C43" s="16" t="n">
        <v>136.63</v>
      </c>
      <c r="D43" s="16" t="n">
        <v>57.95</v>
      </c>
      <c r="E43" s="10" t="n">
        <v>20</v>
      </c>
      <c r="F43" s="17" t="n">
        <f aca="false">C43-B43</f>
        <v>5.81999999999999</v>
      </c>
      <c r="G43" s="18" t="n">
        <f aca="false">(B43-B43/(1+E43/100)+D43)/B43</f>
        <v>0.609675610936982</v>
      </c>
      <c r="H43" s="18" t="n">
        <f aca="false">(C43-C43/(1+E43/100)+D43)/C43</f>
        <v>0.590804850081729</v>
      </c>
    </row>
    <row r="44" customFormat="false" ht="15" hidden="false" customHeight="false" outlineLevel="0" collapsed="false">
      <c r="A44" s="15" t="n">
        <v>43395</v>
      </c>
      <c r="B44" s="16" t="n">
        <v>130.98</v>
      </c>
      <c r="C44" s="16" t="n">
        <v>136.93</v>
      </c>
      <c r="D44" s="16" t="n">
        <v>57.95</v>
      </c>
      <c r="E44" s="10" t="n">
        <v>20</v>
      </c>
      <c r="F44" s="17" t="n">
        <f aca="false">C44-B44</f>
        <v>5.95000000000002</v>
      </c>
      <c r="G44" s="18" t="n">
        <f aca="false">(B44-B44/(1+E44/100)+D44)/B44</f>
        <v>0.609100626049779</v>
      </c>
      <c r="H44" s="18" t="n">
        <f aca="false">(C44-C44/(1+E44/100)+D44)/C44</f>
        <v>0.589875605540544</v>
      </c>
    </row>
    <row r="45" customFormat="false" ht="15" hidden="false" customHeight="false" outlineLevel="0" collapsed="false">
      <c r="A45" s="15" t="n">
        <v>43402</v>
      </c>
      <c r="B45" s="16" t="n">
        <v>130.64</v>
      </c>
      <c r="C45" s="16" t="n">
        <v>136.99</v>
      </c>
      <c r="D45" s="16" t="n">
        <v>57.95</v>
      </c>
      <c r="E45" s="10" t="n">
        <v>20</v>
      </c>
      <c r="F45" s="17" t="n">
        <f aca="false">C45-B45</f>
        <v>6.35000000000002</v>
      </c>
      <c r="G45" s="18" t="n">
        <f aca="false">(B45-B45/(1+E45/100)+D45)/B45</f>
        <v>0.610252092263727</v>
      </c>
      <c r="H45" s="18" t="n">
        <f aca="false">(C45-C45/(1+E45/100)+D45)/C45</f>
        <v>0.589690245030051</v>
      </c>
    </row>
    <row r="46" customFormat="false" ht="15" hidden="false" customHeight="false" outlineLevel="0" collapsed="false">
      <c r="A46" s="15" t="n">
        <v>43409</v>
      </c>
      <c r="B46" s="16" t="n">
        <v>130.11</v>
      </c>
      <c r="C46" s="16" t="n">
        <v>137.03</v>
      </c>
      <c r="D46" s="16" t="n">
        <v>57.95</v>
      </c>
      <c r="E46" s="10" t="n">
        <v>20</v>
      </c>
      <c r="F46" s="17" t="n">
        <f aca="false">C46-B46</f>
        <v>6.91999999999999</v>
      </c>
      <c r="G46" s="18" t="n">
        <f aca="false">(B46-B46/(1+E46/100)+D46)/B46</f>
        <v>0.612059026977173</v>
      </c>
      <c r="H46" s="18" t="n">
        <f aca="false">(C46-C46/(1+E46/100)+D46)/C46</f>
        <v>0.589566761536403</v>
      </c>
    </row>
    <row r="47" customFormat="false" ht="15" hidden="false" customHeight="false" outlineLevel="0" collapsed="false">
      <c r="A47" s="15" t="n">
        <v>43416</v>
      </c>
      <c r="B47" s="16" t="n">
        <v>128.94</v>
      </c>
      <c r="C47" s="16" t="n">
        <v>137.08</v>
      </c>
      <c r="D47" s="16" t="n">
        <v>57.95</v>
      </c>
      <c r="E47" s="10" t="n">
        <v>20</v>
      </c>
      <c r="F47" s="17" t="n">
        <f aca="false">C47-B47</f>
        <v>8.14000000000002</v>
      </c>
      <c r="G47" s="18" t="n">
        <f aca="false">(B47-B47/(1+E47/100)+D47)/B47</f>
        <v>0.616100511865984</v>
      </c>
      <c r="H47" s="18" t="n">
        <f aca="false">(C47-C47/(1+E47/100)+D47)/C47</f>
        <v>0.589412508510845</v>
      </c>
    </row>
    <row r="48" customFormat="false" ht="15" hidden="false" customHeight="false" outlineLevel="0" collapsed="false">
      <c r="A48" s="15" t="n">
        <v>43423</v>
      </c>
      <c r="B48" s="16" t="n">
        <v>127.4</v>
      </c>
      <c r="C48" s="16" t="n">
        <v>136.38</v>
      </c>
      <c r="D48" s="16" t="n">
        <v>57.95</v>
      </c>
      <c r="E48" s="10" t="n">
        <v>20</v>
      </c>
      <c r="F48" s="17" t="n">
        <f aca="false">C48-B48</f>
        <v>8.97999999999999</v>
      </c>
      <c r="G48" s="18" t="n">
        <f aca="false">(B48-B48/(1+E48/100)+D48)/B48</f>
        <v>0.621533228676086</v>
      </c>
      <c r="H48" s="18" t="n">
        <f aca="false">(C48-C48/(1+E48/100)+D48)/C48</f>
        <v>0.591582343452119</v>
      </c>
    </row>
    <row r="49" customFormat="false" ht="15" hidden="false" customHeight="false" outlineLevel="0" collapsed="false">
      <c r="A49" s="15" t="n">
        <v>43430</v>
      </c>
      <c r="B49" s="16" t="n">
        <v>125.77</v>
      </c>
      <c r="C49" s="16" t="n">
        <v>135.43</v>
      </c>
      <c r="D49" s="16" t="n">
        <v>57.95</v>
      </c>
      <c r="E49" s="10" t="n">
        <v>20</v>
      </c>
      <c r="F49" s="17" t="n">
        <f aca="false">C49-B49</f>
        <v>9.66000000000001</v>
      </c>
      <c r="G49" s="18" t="n">
        <f aca="false">(B49-B49/(1+E49/100)+D49)/B49</f>
        <v>0.627428374546129</v>
      </c>
      <c r="H49" s="18" t="n">
        <f aca="false">(C49-C49/(1+E49/100)+D49)/C49</f>
        <v>0.594562996874154</v>
      </c>
    </row>
    <row r="50" customFormat="false" ht="15" hidden="false" customHeight="false" outlineLevel="0" collapsed="false">
      <c r="A50" s="15" t="n">
        <v>43437</v>
      </c>
      <c r="B50" s="16" t="n">
        <v>124.3</v>
      </c>
      <c r="C50" s="16" t="n">
        <v>134.38</v>
      </c>
      <c r="D50" s="16" t="n">
        <v>57.95</v>
      </c>
      <c r="E50" s="10" t="n">
        <v>20</v>
      </c>
      <c r="F50" s="17" t="n">
        <f aca="false">C50-B50</f>
        <v>10.08</v>
      </c>
      <c r="G50" s="18" t="n">
        <f aca="false">(B50-B50/(1+E50/100)+D50)/B50</f>
        <v>0.632877447036739</v>
      </c>
      <c r="H50" s="18" t="n">
        <f aca="false">(C50-C50/(1+E50/100)+D50)/C50</f>
        <v>0.597906434489259</v>
      </c>
    </row>
    <row r="51" customFormat="false" ht="15" hidden="false" customHeight="false" outlineLevel="0" collapsed="false">
      <c r="A51" s="15" t="n">
        <v>43444</v>
      </c>
      <c r="B51" s="16" t="n">
        <v>122.37</v>
      </c>
      <c r="C51" s="16" t="n">
        <v>132.5</v>
      </c>
      <c r="D51" s="16" t="n">
        <v>57.95</v>
      </c>
      <c r="E51" s="10" t="n">
        <v>20</v>
      </c>
      <c r="F51" s="17" t="n">
        <f aca="false">C51-B51</f>
        <v>10.13</v>
      </c>
      <c r="G51" s="18" t="n">
        <f aca="false">(B51-B51/(1+E51/100)+D51)/B51</f>
        <v>0.640230448639372</v>
      </c>
      <c r="H51" s="18" t="n">
        <f aca="false">(C51-C51/(1+E51/100)+D51)/C51</f>
        <v>0.604025157232704</v>
      </c>
    </row>
    <row r="52" customFormat="false" ht="15" hidden="false" customHeight="false" outlineLevel="0" collapsed="false">
      <c r="A52" s="15" t="n">
        <v>43451</v>
      </c>
      <c r="B52" s="16" t="n">
        <v>121.02</v>
      </c>
      <c r="C52" s="16" t="n">
        <v>131.26</v>
      </c>
      <c r="D52" s="16" t="n">
        <v>57.95</v>
      </c>
      <c r="E52" s="10" t="n">
        <v>20</v>
      </c>
      <c r="F52" s="17" t="n">
        <f aca="false">C52-B52</f>
        <v>10.24</v>
      </c>
      <c r="G52" s="18" t="n">
        <f aca="false">(B52-B52/(1+E52/100)+D52)/B52</f>
        <v>0.645513138324244</v>
      </c>
      <c r="H52" s="18" t="n">
        <f aca="false">(C52-C52/(1+E52/100)+D52)/C52</f>
        <v>0.608156838844025</v>
      </c>
    </row>
    <row r="53" customFormat="false" ht="15" hidden="false" customHeight="false" outlineLevel="0" collapsed="false">
      <c r="A53" s="15" t="n">
        <v>43458</v>
      </c>
      <c r="B53" s="16" t="n">
        <v>120.61</v>
      </c>
      <c r="C53" s="16" t="n">
        <v>130.91</v>
      </c>
      <c r="D53" s="16" t="n">
        <v>57.95</v>
      </c>
      <c r="E53" s="10" t="n">
        <v>20</v>
      </c>
      <c r="F53" s="17" t="n">
        <f aca="false">C53-B53</f>
        <v>10.3</v>
      </c>
      <c r="G53" s="18" t="n">
        <f aca="false">(B53-B53/(1+E53/100)+D53)/B53</f>
        <v>0.647140922532681</v>
      </c>
      <c r="H53" s="18" t="n">
        <f aca="false">(C53-C53/(1+E53/100)+D53)/C53</f>
        <v>0.609337203676826</v>
      </c>
    </row>
    <row r="54" customFormat="false" ht="15" hidden="false" customHeight="false" outlineLevel="0" collapsed="false">
      <c r="A54" s="15" t="n">
        <v>43465</v>
      </c>
      <c r="B54" s="16" t="n">
        <v>120.18</v>
      </c>
      <c r="C54" s="16" t="n">
        <v>130.26</v>
      </c>
      <c r="D54" s="16" t="n">
        <v>57.95</v>
      </c>
      <c r="E54" s="10" t="n">
        <v>20</v>
      </c>
      <c r="F54" s="17" t="n">
        <f aca="false">C54-B54</f>
        <v>10.08</v>
      </c>
      <c r="G54" s="18" t="n">
        <f aca="false">(B54-B54/(1+E54/100)+D54)/B54</f>
        <v>0.648860043268431</v>
      </c>
      <c r="H54" s="18" t="n">
        <f aca="false">(C54-C54/(1+E54/100)+D54)/C54</f>
        <v>0.611546138492246</v>
      </c>
    </row>
    <row r="55" customFormat="false" ht="15" hidden="false" customHeight="false" outlineLevel="0" collapsed="false">
      <c r="A55" s="15" t="n">
        <v>43472</v>
      </c>
      <c r="B55" s="16" t="n">
        <v>120.27</v>
      </c>
      <c r="C55" s="16" t="n">
        <v>130.33</v>
      </c>
      <c r="D55" s="16" t="n">
        <v>57.95</v>
      </c>
      <c r="E55" s="10" t="n">
        <v>20</v>
      </c>
      <c r="F55" s="17" t="n">
        <f aca="false">C55-B55</f>
        <v>10.06</v>
      </c>
      <c r="G55" s="18" t="n">
        <f aca="false">(B55-B55/(1+E55/100)+D55)/B55</f>
        <v>0.648499210110585</v>
      </c>
      <c r="H55" s="18" t="n">
        <f aca="false">(C55-C55/(1+E55/100)+D55)/C55</f>
        <v>0.611307194557406</v>
      </c>
    </row>
    <row r="56" customFormat="false" ht="15" hidden="false" customHeight="false" outlineLevel="0" collapsed="false">
      <c r="A56" s="15" t="n">
        <v>43479</v>
      </c>
      <c r="B56" s="16" t="n">
        <v>119.53</v>
      </c>
      <c r="C56" s="16" t="n">
        <v>129.47</v>
      </c>
      <c r="D56" s="16" t="n">
        <v>57.95</v>
      </c>
      <c r="E56" s="10" t="n">
        <v>20</v>
      </c>
      <c r="F56" s="17" t="n">
        <f aca="false">C56-B56</f>
        <v>9.94</v>
      </c>
      <c r="G56" s="18" t="n">
        <f aca="false">(B56-B56/(1+E56/100)+D56)/B56</f>
        <v>0.651482194149307</v>
      </c>
      <c r="H56" s="18" t="n">
        <f aca="false">(C56-C56/(1+E56/100)+D56)/C56</f>
        <v>0.614260703895368</v>
      </c>
    </row>
    <row r="57" customFormat="false" ht="15" hidden="false" customHeight="false" outlineLevel="0" collapsed="false">
      <c r="A57" s="15" t="n">
        <v>43486</v>
      </c>
      <c r="B57" s="16" t="n">
        <v>119.12</v>
      </c>
      <c r="C57" s="16" t="n">
        <v>128.92</v>
      </c>
      <c r="D57" s="16" t="n">
        <v>57.95</v>
      </c>
      <c r="E57" s="10" t="n">
        <v>20</v>
      </c>
      <c r="F57" s="17" t="n">
        <f aca="false">C57-B57</f>
        <v>9.79999999999998</v>
      </c>
      <c r="G57" s="18" t="n">
        <f aca="false">(B57-B57/(1+E57/100)+D57)/B57</f>
        <v>0.653150884262368</v>
      </c>
      <c r="H57" s="18" t="n">
        <f aca="false">(C57-C57/(1+E57/100)+D57)/C57</f>
        <v>0.616170234770918</v>
      </c>
    </row>
    <row r="58" customFormat="false" ht="15" hidden="false" customHeight="false" outlineLevel="0" collapsed="false">
      <c r="A58" s="15" t="n">
        <v>43493</v>
      </c>
      <c r="B58" s="16" t="n">
        <v>119.29</v>
      </c>
      <c r="C58" s="16" t="n">
        <v>129.1</v>
      </c>
      <c r="D58" s="16" t="n">
        <v>57.95</v>
      </c>
      <c r="E58" s="10" t="n">
        <v>20</v>
      </c>
      <c r="F58" s="17" t="n">
        <f aca="false">C58-B58</f>
        <v>9.80999999999999</v>
      </c>
      <c r="G58" s="18" t="n">
        <f aca="false">(B58-B58/(1+E58/100)+D58)/B58</f>
        <v>0.652457596333864</v>
      </c>
      <c r="H58" s="18" t="n">
        <f aca="false">(C58-C58/(1+E58/100)+D58)/C58</f>
        <v>0.615543506325846</v>
      </c>
    </row>
    <row r="59" customFormat="false" ht="15" hidden="false" customHeight="false" outlineLevel="0" collapsed="false">
      <c r="A59" s="15" t="n">
        <v>43500</v>
      </c>
      <c r="B59" s="16" t="n">
        <v>119.13</v>
      </c>
      <c r="C59" s="16" t="n">
        <v>129.13</v>
      </c>
      <c r="D59" s="16" t="n">
        <v>57.95</v>
      </c>
      <c r="E59" s="10" t="n">
        <v>20</v>
      </c>
      <c r="F59" s="17" t="n">
        <f aca="false">C59-B59</f>
        <v>10</v>
      </c>
      <c r="G59" s="18" t="n">
        <f aca="false">(B59-B59/(1+E59/100)+D59)/B59</f>
        <v>0.65311004784689</v>
      </c>
      <c r="H59" s="18" t="n">
        <f aca="false">(C59-C59/(1+E59/100)+D59)/C59</f>
        <v>0.615439221456413</v>
      </c>
    </row>
    <row r="60" customFormat="false" ht="15" hidden="false" customHeight="false" outlineLevel="0" collapsed="false">
      <c r="A60" s="15" t="n">
        <v>43507</v>
      </c>
      <c r="B60" s="16" t="n">
        <v>118.97</v>
      </c>
      <c r="C60" s="16" t="n">
        <v>129.17</v>
      </c>
      <c r="D60" s="16" t="n">
        <v>57.95</v>
      </c>
      <c r="E60" s="10" t="n">
        <v>20</v>
      </c>
      <c r="F60" s="17" t="n">
        <f aca="false">C60-B60</f>
        <v>10.2</v>
      </c>
      <c r="G60" s="18" t="n">
        <f aca="false">(B60-B60/(1+E60/100)+D60)/B60</f>
        <v>0.6537642542938</v>
      </c>
      <c r="H60" s="18" t="n">
        <f aca="false">(C60-C60/(1+E60/100)+D60)/C60</f>
        <v>0.615300250316121</v>
      </c>
    </row>
    <row r="61" customFormat="false" ht="15" hidden="false" customHeight="false" outlineLevel="0" collapsed="false">
      <c r="A61" s="15" t="n">
        <v>43514</v>
      </c>
      <c r="B61" s="16" t="n">
        <v>119.05</v>
      </c>
      <c r="C61" s="16" t="n">
        <v>129.23</v>
      </c>
      <c r="D61" s="16" t="n">
        <v>57.95</v>
      </c>
      <c r="E61" s="10" t="n">
        <v>20</v>
      </c>
      <c r="F61" s="17" t="n">
        <f aca="false">C61-B61</f>
        <v>10.18</v>
      </c>
      <c r="G61" s="18" t="n">
        <f aca="false">(B61-B61/(1+E61/100)+D61)/B61</f>
        <v>0.653436931261375</v>
      </c>
      <c r="H61" s="18" t="n">
        <f aca="false">(C61-C61/(1+E61/100)+D61)/C61</f>
        <v>0.61509195491243</v>
      </c>
    </row>
    <row r="62" customFormat="false" ht="15" hidden="false" customHeight="false" outlineLevel="0" collapsed="false">
      <c r="A62" s="15" t="n">
        <v>43521</v>
      </c>
      <c r="B62" s="16" t="n">
        <v>119.22</v>
      </c>
      <c r="C62" s="16" t="n">
        <v>129.66</v>
      </c>
      <c r="D62" s="16" t="n">
        <v>57.95</v>
      </c>
      <c r="E62" s="10" t="n">
        <v>20</v>
      </c>
      <c r="F62" s="17" t="n">
        <f aca="false">C62-B62</f>
        <v>10.44</v>
      </c>
      <c r="G62" s="18" t="n">
        <f aca="false">(B62-B62/(1+E62/100)+D62)/B62</f>
        <v>0.652742828384499</v>
      </c>
      <c r="H62" s="18" t="n">
        <f aca="false">(C62-C62/(1+E62/100)+D62)/C62</f>
        <v>0.613604812586766</v>
      </c>
    </row>
    <row r="63" customFormat="false" ht="15" hidden="false" customHeight="false" outlineLevel="0" collapsed="false">
      <c r="A63" s="15" t="n">
        <v>43528</v>
      </c>
      <c r="B63" s="16" t="n">
        <v>119.72</v>
      </c>
      <c r="C63" s="16" t="n">
        <v>130.25</v>
      </c>
      <c r="D63" s="16" t="n">
        <v>57.95</v>
      </c>
      <c r="E63" s="10" t="n">
        <v>20</v>
      </c>
      <c r="F63" s="17" t="n">
        <f aca="false">C63-B63</f>
        <v>10.53</v>
      </c>
      <c r="G63" s="18" t="n">
        <f aca="false">(B63-B63/(1+E63/100)+D63)/B63</f>
        <v>0.65071277425103</v>
      </c>
      <c r="H63" s="18" t="n">
        <f aca="false">(C63-C63/(1+E63/100)+D63)/C63</f>
        <v>0.611580294305822</v>
      </c>
    </row>
    <row r="64" customFormat="false" ht="15" hidden="false" customHeight="false" outlineLevel="0" collapsed="false">
      <c r="A64" s="15" t="n">
        <v>43535</v>
      </c>
      <c r="B64" s="16" t="n">
        <v>120.1</v>
      </c>
      <c r="C64" s="16" t="n">
        <v>130.59</v>
      </c>
      <c r="D64" s="16" t="n">
        <v>57.95</v>
      </c>
      <c r="E64" s="10" t="n">
        <v>20</v>
      </c>
      <c r="F64" s="17" t="n">
        <f aca="false">C64-B64</f>
        <v>10.49</v>
      </c>
      <c r="G64" s="18" t="n">
        <f aca="false">(B64-B64/(1+E64/100)+D64)/B64</f>
        <v>0.649181237857341</v>
      </c>
      <c r="H64" s="18" t="n">
        <f aca="false">(C64-C64/(1+E64/100)+D64)/C64</f>
        <v>0.610421931235164</v>
      </c>
    </row>
    <row r="65" customFormat="false" ht="15" hidden="false" customHeight="false" outlineLevel="0" collapsed="false">
      <c r="A65" s="15" t="n">
        <v>43542</v>
      </c>
      <c r="B65" s="16" t="n">
        <v>120.48</v>
      </c>
      <c r="C65" s="16" t="n">
        <v>130.85</v>
      </c>
      <c r="D65" s="16" t="n">
        <v>57.95</v>
      </c>
      <c r="E65" s="10" t="n">
        <v>20</v>
      </c>
      <c r="F65" s="17" t="n">
        <f aca="false">C65-B65</f>
        <v>10.37</v>
      </c>
      <c r="G65" s="18" t="n">
        <f aca="false">(B65-B65/(1+E65/100)+D65)/B65</f>
        <v>0.647659362549801</v>
      </c>
      <c r="H65" s="18" t="n">
        <f aca="false">(C65-C65/(1+E65/100)+D65)/C65</f>
        <v>0.609540185963572</v>
      </c>
    </row>
    <row r="66" customFormat="false" ht="15" hidden="false" customHeight="false" outlineLevel="0" collapsed="false">
      <c r="A66" s="15" t="n">
        <v>43549</v>
      </c>
      <c r="B66" s="16" t="n">
        <v>120.83</v>
      </c>
      <c r="C66" s="16" t="n">
        <v>131.15</v>
      </c>
      <c r="D66" s="16" t="n">
        <v>57.95</v>
      </c>
      <c r="E66" s="10" t="n">
        <v>20</v>
      </c>
      <c r="F66" s="17" t="n">
        <f aca="false">C66-B66</f>
        <v>10.32</v>
      </c>
      <c r="G66" s="18" t="n">
        <f aca="false">(B66-B66/(1+E66/100)+D66)/B66</f>
        <v>0.646266103892521</v>
      </c>
      <c r="H66" s="18" t="n">
        <f aca="false">(C66-C66/(1+E66/100)+D66)/C66</f>
        <v>0.608527131782946</v>
      </c>
    </row>
    <row r="67" customFormat="false" ht="15" hidden="false" customHeight="false" outlineLevel="0" collapsed="false">
      <c r="A67" s="15" t="n">
        <v>43556</v>
      </c>
      <c r="B67" s="16" t="n">
        <v>121.7</v>
      </c>
      <c r="C67" s="16" t="n">
        <v>131.48</v>
      </c>
      <c r="D67" s="16" t="n">
        <v>57.95</v>
      </c>
      <c r="E67" s="10" t="n">
        <v>20</v>
      </c>
      <c r="F67" s="17" t="n">
        <f aca="false">C67-B67</f>
        <v>9.77999999999999</v>
      </c>
      <c r="G67" s="18" t="n">
        <f aca="false">(B67-B67/(1+E67/100)+D67)/B67</f>
        <v>0.642837578745549</v>
      </c>
      <c r="H67" s="18" t="n">
        <f aca="false">(C67-C67/(1+E67/100)+D67)/C67</f>
        <v>0.607418111753372</v>
      </c>
    </row>
    <row r="68" customFormat="false" ht="15" hidden="false" customHeight="false" outlineLevel="0" collapsed="false">
      <c r="A68" s="15" t="n">
        <v>43563</v>
      </c>
      <c r="B68" s="16" t="n">
        <v>122.75</v>
      </c>
      <c r="C68" s="16" t="n">
        <v>132.08</v>
      </c>
      <c r="D68" s="16" t="n">
        <v>57.95</v>
      </c>
      <c r="E68" s="10" t="n">
        <v>20</v>
      </c>
      <c r="F68" s="17" t="n">
        <f aca="false">C68-B68</f>
        <v>9.33000000000001</v>
      </c>
      <c r="G68" s="18" t="n">
        <f aca="false">(B68-B68/(1+E68/100)+D68)/B68</f>
        <v>0.638764426340801</v>
      </c>
      <c r="H68" s="18" t="n">
        <f aca="false">(C68-C68/(1+E68/100)+D68)/C68</f>
        <v>0.605415909549768</v>
      </c>
    </row>
    <row r="69" customFormat="false" ht="15" hidden="false" customHeight="false" outlineLevel="0" collapsed="false">
      <c r="A69" s="15" t="n">
        <v>43570</v>
      </c>
      <c r="B69" s="16" t="n">
        <v>124.06</v>
      </c>
      <c r="C69" s="16" t="n">
        <v>132.96</v>
      </c>
      <c r="D69" s="16" t="n">
        <v>57.95</v>
      </c>
      <c r="E69" s="10" t="n">
        <v>20</v>
      </c>
      <c r="F69" s="17" t="n">
        <f aca="false">C69-B69</f>
        <v>8.90000000000001</v>
      </c>
      <c r="G69" s="18" t="n">
        <f aca="false">(B69-B69/(1+E69/100)+D69)/B69</f>
        <v>0.633779354075985</v>
      </c>
      <c r="H69" s="18" t="n">
        <f aca="false">(C69-C69/(1+E69/100)+D69)/C69</f>
        <v>0.602512033694344</v>
      </c>
    </row>
    <row r="70" customFormat="false" ht="15" hidden="false" customHeight="false" outlineLevel="0" collapsed="false">
      <c r="A70" s="15" t="n">
        <v>43577</v>
      </c>
      <c r="B70" s="16" t="n">
        <v>125.43</v>
      </c>
      <c r="C70" s="16" t="n">
        <v>133.99</v>
      </c>
      <c r="D70" s="16" t="n">
        <v>57.95</v>
      </c>
      <c r="E70" s="10" t="n">
        <v>20</v>
      </c>
      <c r="F70" s="17" t="n">
        <f aca="false">C70-B70</f>
        <v>8.56</v>
      </c>
      <c r="G70" s="18" t="n">
        <f aca="false">(B70-B70/(1+E70/100)+D70)/B70</f>
        <v>0.628677349916288</v>
      </c>
      <c r="H70" s="18" t="n">
        <f aca="false">(C70-C70/(1+E70/100)+D70)/C70</f>
        <v>0.599161628977287</v>
      </c>
    </row>
    <row r="71" customFormat="false" ht="15" hidden="false" customHeight="false" outlineLevel="0" collapsed="false">
      <c r="A71" s="15" t="n">
        <v>43584</v>
      </c>
      <c r="B71" s="16" t="n">
        <v>126.36</v>
      </c>
      <c r="C71" s="16" t="n">
        <v>134.6</v>
      </c>
      <c r="D71" s="16" t="n">
        <v>57.95</v>
      </c>
      <c r="E71" s="10" t="n">
        <v>20</v>
      </c>
      <c r="F71" s="17" t="n">
        <f aca="false">C71-B71</f>
        <v>8.24</v>
      </c>
      <c r="G71" s="18" t="n">
        <f aca="false">(B71-B71/(1+E71/100)+D71)/B71</f>
        <v>0.625276986388098</v>
      </c>
      <c r="H71" s="18" t="n">
        <f aca="false">(C71-C71/(1+E71/100)+D71)/C71</f>
        <v>0.597201584943041</v>
      </c>
    </row>
    <row r="72" customFormat="false" ht="15" hidden="false" customHeight="false" outlineLevel="0" collapsed="false">
      <c r="A72" s="15" t="n">
        <v>43591</v>
      </c>
      <c r="B72" s="16" t="n">
        <v>127.5</v>
      </c>
      <c r="C72" s="16" t="n">
        <v>135.41</v>
      </c>
      <c r="D72" s="16" t="n">
        <v>57.95</v>
      </c>
      <c r="E72" s="10" t="n">
        <v>20</v>
      </c>
      <c r="F72" s="17" t="n">
        <f aca="false">C72-B72</f>
        <v>7.91</v>
      </c>
      <c r="G72" s="18" t="n">
        <f aca="false">(B72-B72/(1+E72/100)+D72)/B72</f>
        <v>0.621176470588235</v>
      </c>
      <c r="H72" s="18" t="n">
        <f aca="false">(C72-C72/(1+E72/100)+D72)/C72</f>
        <v>0.594626196982005</v>
      </c>
    </row>
    <row r="73" customFormat="false" ht="15" hidden="false" customHeight="false" outlineLevel="0" collapsed="false">
      <c r="A73" s="15" t="n">
        <v>43598</v>
      </c>
      <c r="B73" s="16" t="n">
        <v>127.97</v>
      </c>
      <c r="C73" s="16" t="n">
        <v>135.36</v>
      </c>
      <c r="D73" s="16" t="n">
        <v>57.95</v>
      </c>
      <c r="E73" s="10" t="n">
        <v>20</v>
      </c>
      <c r="F73" s="17" t="n">
        <f aca="false">C73-B73</f>
        <v>7.39000000000002</v>
      </c>
      <c r="G73" s="18" t="n">
        <f aca="false">(B73-B73/(1+E73/100)+D73)/B73</f>
        <v>0.619507176161079</v>
      </c>
      <c r="H73" s="18" t="n">
        <f aca="false">(C73-C73/(1+E73/100)+D73)/C73</f>
        <v>0.594784278959811</v>
      </c>
    </row>
    <row r="74" customFormat="false" ht="15" hidden="false" customHeight="false" outlineLevel="0" collapsed="false">
      <c r="A74" s="15" t="n">
        <v>43605</v>
      </c>
      <c r="B74" s="16" t="n">
        <v>128.51</v>
      </c>
      <c r="C74" s="16" t="n">
        <v>135.82</v>
      </c>
      <c r="D74" s="16" t="n">
        <v>57.95</v>
      </c>
      <c r="E74" s="10" t="n">
        <v>20</v>
      </c>
      <c r="F74" s="17" t="n">
        <f aca="false">C74-B74</f>
        <v>7.31</v>
      </c>
      <c r="G74" s="18" t="n">
        <f aca="false">(B74-B74/(1+E74/100)+D74)/B74</f>
        <v>0.617604336886883</v>
      </c>
      <c r="H74" s="18" t="n">
        <f aca="false">(C74-C74/(1+E74/100)+D74)/C74</f>
        <v>0.593334315024788</v>
      </c>
    </row>
    <row r="75" customFormat="false" ht="15" hidden="false" customHeight="false" outlineLevel="0" collapsed="false">
      <c r="A75" s="15" t="n">
        <v>43612</v>
      </c>
      <c r="B75" s="16" t="n">
        <v>129.14</v>
      </c>
      <c r="C75" s="16" t="n">
        <v>136.45</v>
      </c>
      <c r="D75" s="16" t="n">
        <v>57.95</v>
      </c>
      <c r="E75" s="10" t="n">
        <v>20</v>
      </c>
      <c r="F75" s="17" t="n">
        <f aca="false">C75-B75</f>
        <v>7.31</v>
      </c>
      <c r="G75" s="18" t="n">
        <f aca="false">(B75-B75/(1+E75/100)+D75)/B75</f>
        <v>0.615404470600382</v>
      </c>
      <c r="H75" s="18" t="n">
        <f aca="false">(C75-C75/(1+E75/100)+D75)/C75</f>
        <v>0.591364358128741</v>
      </c>
    </row>
    <row r="76" customFormat="false" ht="15" hidden="false" customHeight="false" outlineLevel="0" collapsed="false">
      <c r="A76" s="15" t="n">
        <v>43619</v>
      </c>
      <c r="B76" s="16" t="n">
        <v>129.41</v>
      </c>
      <c r="C76" s="16" t="n">
        <v>136.39</v>
      </c>
      <c r="D76" s="16" t="n">
        <v>57.95</v>
      </c>
      <c r="E76" s="10" t="n">
        <v>20</v>
      </c>
      <c r="F76" s="17" t="n">
        <f aca="false">C76-B76</f>
        <v>6.97999999999999</v>
      </c>
      <c r="G76" s="18" t="n">
        <f aca="false">(B76-B76/(1+E76/100)+D76)/B76</f>
        <v>0.614468227597043</v>
      </c>
      <c r="H76" s="18" t="n">
        <f aca="false">(C76-C76/(1+E76/100)+D76)/C76</f>
        <v>0.59155118899235</v>
      </c>
    </row>
    <row r="77" customFormat="false" ht="15" hidden="false" customHeight="false" outlineLevel="0" collapsed="false">
      <c r="A77" s="15" t="n">
        <v>43626</v>
      </c>
      <c r="B77" s="16" t="n">
        <v>128.89</v>
      </c>
      <c r="C77" s="16" t="n">
        <v>135.4</v>
      </c>
      <c r="D77" s="16" t="n">
        <v>57.95</v>
      </c>
      <c r="E77" s="10" t="n">
        <v>20</v>
      </c>
      <c r="F77" s="17" t="n">
        <f aca="false">C77-B77</f>
        <v>6.51000000000002</v>
      </c>
      <c r="G77" s="18" t="n">
        <f aca="false">(B77-B77/(1+E77/100)+D77)/B77</f>
        <v>0.616274859699485</v>
      </c>
      <c r="H77" s="18" t="n">
        <f aca="false">(C77-C77/(1+E77/100)+D77)/C77</f>
        <v>0.59465780403742</v>
      </c>
    </row>
    <row r="78" customFormat="false" ht="15" hidden="false" customHeight="false" outlineLevel="0" collapsed="false">
      <c r="A78" s="15" t="n">
        <v>43633</v>
      </c>
      <c r="B78" s="16" t="n">
        <v>127.66</v>
      </c>
      <c r="C78" s="16" t="n">
        <v>133.76</v>
      </c>
      <c r="D78" s="16" t="n">
        <v>57.95</v>
      </c>
      <c r="E78" s="10" t="n">
        <v>20</v>
      </c>
      <c r="F78" s="17" t="n">
        <f aca="false">C78-B78</f>
        <v>6.09999999999999</v>
      </c>
      <c r="G78" s="18" t="n">
        <f aca="false">(B78-B78/(1+E78/100)+D78)/B78</f>
        <v>0.620606820199488</v>
      </c>
      <c r="H78" s="18" t="n">
        <f aca="false">(C78-C78/(1+E78/100)+D78)/C78</f>
        <v>0.599905303030303</v>
      </c>
    </row>
    <row r="79" customFormat="false" ht="15" hidden="false" customHeight="false" outlineLevel="0" collapsed="false">
      <c r="A79" s="15" t="n">
        <v>43640</v>
      </c>
      <c r="B79" s="16" t="n">
        <v>126.66</v>
      </c>
      <c r="C79" s="16" t="n">
        <v>131.81</v>
      </c>
      <c r="D79" s="16" t="n">
        <v>57.95</v>
      </c>
      <c r="E79" s="10" t="n">
        <v>20</v>
      </c>
      <c r="F79" s="17" t="n">
        <f aca="false">C79-B79</f>
        <v>5.15000000000001</v>
      </c>
      <c r="G79" s="18" t="n">
        <f aca="false">(B79-B79/(1+E79/100)+D79)/B79</f>
        <v>0.624190746881415</v>
      </c>
      <c r="H79" s="18" t="n">
        <f aca="false">(C79-C79/(1+E79/100)+D79)/C79</f>
        <v>0.606314644817035</v>
      </c>
    </row>
    <row r="80" customFormat="false" ht="15" hidden="false" customHeight="false" outlineLevel="0" collapsed="false">
      <c r="A80" s="15" t="n">
        <v>43647</v>
      </c>
      <c r="B80" s="16" t="n">
        <v>126.49</v>
      </c>
      <c r="C80" s="16" t="n">
        <v>131.55</v>
      </c>
      <c r="D80" s="16" t="n">
        <v>57.95</v>
      </c>
      <c r="E80" s="10" t="n">
        <v>20</v>
      </c>
      <c r="F80" s="17" t="n">
        <f aca="false">C80-B80</f>
        <v>5.06000000000002</v>
      </c>
      <c r="G80" s="18" t="n">
        <f aca="false">(B80-B80/(1+E80/100)+D80)/B80</f>
        <v>0.624805649985506</v>
      </c>
      <c r="H80" s="18" t="n">
        <f aca="false">(C80-C80/(1+E80/100)+D80)/C80</f>
        <v>0.607183580387685</v>
      </c>
    </row>
    <row r="81" customFormat="false" ht="15" hidden="false" customHeight="false" outlineLevel="0" collapsed="false">
      <c r="A81" s="15" t="n">
        <v>43654</v>
      </c>
      <c r="B81" s="16" t="n">
        <v>126.86</v>
      </c>
      <c r="C81" s="16" t="n">
        <v>131.68</v>
      </c>
      <c r="D81" s="16" t="n">
        <v>57.95</v>
      </c>
      <c r="E81" s="10" t="n">
        <v>20</v>
      </c>
      <c r="F81" s="17" t="n">
        <f aca="false">C81-B81</f>
        <v>4.82000000000001</v>
      </c>
      <c r="G81" s="18" t="n">
        <f aca="false">(B81-B81/(1+E81/100)+D81)/B81</f>
        <v>0.623469441378948</v>
      </c>
      <c r="H81" s="18" t="n">
        <f aca="false">(C81-C81/(1+E81/100)+D81)/C81</f>
        <v>0.606748683677602</v>
      </c>
    </row>
    <row r="82" customFormat="false" ht="15" hidden="false" customHeight="false" outlineLevel="0" collapsed="false">
      <c r="A82" s="15" t="n">
        <v>43661</v>
      </c>
      <c r="B82" s="16" t="n">
        <v>127.13</v>
      </c>
      <c r="C82" s="16" t="n">
        <v>131.86</v>
      </c>
      <c r="D82" s="16" t="n">
        <v>57.95</v>
      </c>
      <c r="E82" s="10" t="n">
        <v>20</v>
      </c>
      <c r="F82" s="17" t="n">
        <f aca="false">C82-B82</f>
        <v>4.73000000000002</v>
      </c>
      <c r="G82" s="18" t="n">
        <f aca="false">(B82-B82/(1+E82/100)+D82)/B82</f>
        <v>0.622499278953303</v>
      </c>
      <c r="H82" s="18" t="n">
        <f aca="false">(C82-C82/(1+E82/100)+D82)/C82</f>
        <v>0.606147934678194</v>
      </c>
    </row>
    <row r="83" customFormat="false" ht="15" hidden="false" customHeight="false" outlineLevel="0" collapsed="false">
      <c r="A83" s="15" t="n">
        <v>43668</v>
      </c>
      <c r="B83" s="16" t="n">
        <v>127.81</v>
      </c>
      <c r="C83" s="16" t="n">
        <v>132.21</v>
      </c>
      <c r="D83" s="16" t="n">
        <v>57.95</v>
      </c>
      <c r="E83" s="10" t="n">
        <v>20</v>
      </c>
      <c r="F83" s="17" t="n">
        <f aca="false">C83-B83</f>
        <v>4.40000000000001</v>
      </c>
      <c r="G83" s="18" t="n">
        <f aca="false">(B83-B83/(1+E83/100)+D83)/B83</f>
        <v>0.620074068278434</v>
      </c>
      <c r="H83" s="18" t="n">
        <f aca="false">(C83-C83/(1+E83/100)+D83)/C83</f>
        <v>0.604984494365025</v>
      </c>
    </row>
    <row r="84" customFormat="false" ht="15" hidden="false" customHeight="false" outlineLevel="0" collapsed="false">
      <c r="A84" s="15" t="n">
        <v>43675</v>
      </c>
      <c r="B84" s="16" t="n">
        <v>128.03</v>
      </c>
      <c r="C84" s="16" t="n">
        <v>132.6</v>
      </c>
      <c r="D84" s="16" t="n">
        <v>57.95</v>
      </c>
      <c r="E84" s="10" t="n">
        <v>20</v>
      </c>
      <c r="F84" s="17" t="n">
        <f aca="false">C84-B84</f>
        <v>4.56999999999999</v>
      </c>
      <c r="G84" s="18" t="n">
        <f aca="false">(B84-B84/(1+E84/100)+D84)/B84</f>
        <v>0.619294956911141</v>
      </c>
      <c r="H84" s="18" t="n">
        <f aca="false">(C84-C84/(1+E84/100)+D84)/C84</f>
        <v>0.60369532428356</v>
      </c>
    </row>
    <row r="85" customFormat="false" ht="15" hidden="false" customHeight="false" outlineLevel="0" collapsed="false">
      <c r="A85" s="15" t="n">
        <v>43682</v>
      </c>
      <c r="B85" s="16" t="n">
        <v>128.37</v>
      </c>
      <c r="C85" s="16" t="n">
        <v>132.61</v>
      </c>
      <c r="D85" s="16" t="n">
        <v>57.95</v>
      </c>
      <c r="E85" s="10" t="n">
        <v>20</v>
      </c>
      <c r="F85" s="17" t="n">
        <f aca="false">C85-B85</f>
        <v>4.24000000000001</v>
      </c>
      <c r="G85" s="18" t="n">
        <f aca="false">(B85-B85/(1+E85/100)+D85)/B85</f>
        <v>0.618096128378905</v>
      </c>
      <c r="H85" s="18" t="n">
        <f aca="false">(C85-C85/(1+E85/100)+D85)/C85</f>
        <v>0.603662368348289</v>
      </c>
    </row>
    <row r="86" customFormat="false" ht="15" hidden="false" customHeight="false" outlineLevel="0" collapsed="false">
      <c r="A86" s="15" t="n">
        <v>43689</v>
      </c>
      <c r="B86" s="16" t="n">
        <v>128.36</v>
      </c>
      <c r="C86" s="16" t="n">
        <v>132.59</v>
      </c>
      <c r="D86" s="16" t="n">
        <v>57.95</v>
      </c>
      <c r="E86" s="10" t="n">
        <v>20</v>
      </c>
      <c r="F86" s="17" t="n">
        <f aca="false">C86-B86</f>
        <v>4.22999999999999</v>
      </c>
      <c r="G86" s="18" t="n">
        <f aca="false">(B86-B86/(1+E86/100)+D86)/B86</f>
        <v>0.61813129739275</v>
      </c>
      <c r="H86" s="18" t="n">
        <f aca="false">(C86-C86/(1+E86/100)+D86)/C86</f>
        <v>0.603728285189934</v>
      </c>
    </row>
    <row r="87" customFormat="false" ht="15" hidden="false" customHeight="false" outlineLevel="0" collapsed="false">
      <c r="A87" s="15" t="n">
        <v>43696</v>
      </c>
      <c r="B87" s="16" t="n">
        <v>128.17</v>
      </c>
      <c r="C87" s="16" t="n">
        <v>132.6</v>
      </c>
      <c r="D87" s="16" t="n">
        <v>57.95</v>
      </c>
      <c r="E87" s="10" t="n">
        <v>20</v>
      </c>
      <c r="F87" s="17" t="n">
        <f aca="false">C87-B87</f>
        <v>4.43000000000001</v>
      </c>
      <c r="G87" s="18" t="n">
        <f aca="false">(B87-B87/(1+E87/100)+D87)/B87</f>
        <v>0.61880055135107</v>
      </c>
      <c r="H87" s="18" t="n">
        <f aca="false">(C87-C87/(1+E87/100)+D87)/C87</f>
        <v>0.60369532428356</v>
      </c>
    </row>
    <row r="88" customFormat="false" ht="15" hidden="false" customHeight="false" outlineLevel="0" collapsed="false">
      <c r="A88" s="15" t="n">
        <v>43703</v>
      </c>
      <c r="B88" s="16" t="n">
        <v>128.22</v>
      </c>
      <c r="C88" s="16" t="n">
        <v>132.51</v>
      </c>
      <c r="D88" s="16" t="n">
        <v>57.95</v>
      </c>
      <c r="E88" s="10" t="n">
        <v>20</v>
      </c>
      <c r="F88" s="17" t="n">
        <f aca="false">C88-B88</f>
        <v>4.28999999999999</v>
      </c>
      <c r="G88" s="18" t="n">
        <f aca="false">(B88-B88/(1+E88/100)+D88)/B88</f>
        <v>0.618624239588208</v>
      </c>
      <c r="H88" s="18" t="n">
        <f aca="false">(C88-C88/(1+E88/100)+D88)/C88</f>
        <v>0.603992151535733</v>
      </c>
    </row>
    <row r="89" customFormat="false" ht="15" hidden="false" customHeight="false" outlineLevel="0" collapsed="false">
      <c r="A89" s="15" t="n">
        <v>43710</v>
      </c>
      <c r="B89" s="16" t="n">
        <v>127.86</v>
      </c>
      <c r="C89" s="16" t="n">
        <v>132.29</v>
      </c>
      <c r="D89" s="16" t="n">
        <v>57.95</v>
      </c>
      <c r="E89" s="10" t="n">
        <v>20</v>
      </c>
      <c r="F89" s="17" t="n">
        <f aca="false">C89-B89</f>
        <v>4.42999999999999</v>
      </c>
      <c r="G89" s="18" t="n">
        <f aca="false">(B89-B89/(1+E89/100)+D89)/B89</f>
        <v>0.619896762083529</v>
      </c>
      <c r="H89" s="18" t="n">
        <f aca="false">(C89-C89/(1+E89/100)+D89)/C89</f>
        <v>0.60471942953612</v>
      </c>
    </row>
    <row r="90" customFormat="false" ht="15" hidden="false" customHeight="false" outlineLevel="0" collapsed="false">
      <c r="A90" s="15" t="n">
        <v>43717</v>
      </c>
      <c r="B90" s="16" t="n">
        <v>127.79</v>
      </c>
      <c r="C90" s="16" t="n">
        <v>131.89</v>
      </c>
      <c r="D90" s="16" t="n">
        <v>57.95</v>
      </c>
      <c r="E90" s="10" t="n">
        <v>20</v>
      </c>
      <c r="F90" s="17" t="n">
        <f aca="false">C90-B90</f>
        <v>4.09999999999998</v>
      </c>
      <c r="G90" s="18" t="n">
        <f aca="false">(B90-B90/(1+E90/100)+D90)/B90</f>
        <v>0.620145029605864</v>
      </c>
      <c r="H90" s="18" t="n">
        <f aca="false">(C90-C90/(1+E90/100)+D90)/C90</f>
        <v>0.606047969267319</v>
      </c>
    </row>
    <row r="91" customFormat="false" ht="15" hidden="false" customHeight="false" outlineLevel="0" collapsed="false">
      <c r="A91" s="15" t="n">
        <v>43724</v>
      </c>
      <c r="B91" s="16" t="n">
        <v>126.92</v>
      </c>
      <c r="C91" s="16" t="n">
        <v>131.35</v>
      </c>
      <c r="D91" s="16" t="n">
        <v>57.95</v>
      </c>
      <c r="E91" s="10" t="n">
        <v>20</v>
      </c>
      <c r="F91" s="17" t="n">
        <f aca="false">C91-B91</f>
        <v>4.42999999999999</v>
      </c>
      <c r="G91" s="18" t="n">
        <f aca="false">(B91-B91/(1+E91/100)+D91)/B91</f>
        <v>0.623253493013972</v>
      </c>
      <c r="H91" s="18" t="n">
        <f aca="false">(C91-C91/(1+E91/100)+D91)/C91</f>
        <v>0.607854333206446</v>
      </c>
    </row>
    <row r="92" customFormat="false" ht="15" hidden="false" customHeight="false" outlineLevel="0" collapsed="false">
      <c r="A92" s="15" t="n">
        <v>43731</v>
      </c>
      <c r="B92" s="16" t="n">
        <v>126.78</v>
      </c>
      <c r="C92" s="16" t="n">
        <v>131.52</v>
      </c>
      <c r="D92" s="16" t="n">
        <v>57.95</v>
      </c>
      <c r="E92" s="10" t="n">
        <v>20</v>
      </c>
      <c r="F92" s="17" t="n">
        <f aca="false">C92-B92</f>
        <v>4.74000000000001</v>
      </c>
      <c r="G92" s="18" t="n">
        <f aca="false">(B92-B92/(1+E92/100)+D92)/B92</f>
        <v>0.623757690487459</v>
      </c>
      <c r="H92" s="18" t="n">
        <f aca="false">(C92-C92/(1+E92/100)+D92)/C92</f>
        <v>0.607284063260341</v>
      </c>
    </row>
    <row r="93" customFormat="false" ht="15" hidden="false" customHeight="false" outlineLevel="0" collapsed="false">
      <c r="A93" s="15" t="n">
        <v>43738</v>
      </c>
      <c r="B93" s="16" t="n">
        <v>126.92</v>
      </c>
      <c r="C93" s="16" t="n">
        <v>131.83</v>
      </c>
      <c r="D93" s="16" t="n">
        <v>57.95</v>
      </c>
      <c r="E93" s="10" t="n">
        <v>20</v>
      </c>
      <c r="F93" s="17" t="n">
        <f aca="false">C93-B93</f>
        <v>4.91000000000001</v>
      </c>
      <c r="G93" s="18" t="n">
        <f aca="false">(B93-B93/(1+E93/100)+D93)/B93</f>
        <v>0.623253493013972</v>
      </c>
      <c r="H93" s="18" t="n">
        <f aca="false">(C93-C93/(1+E93/100)+D93)/C93</f>
        <v>0.606247945586488</v>
      </c>
    </row>
    <row r="94" customFormat="false" ht="15" hidden="false" customHeight="false" outlineLevel="0" collapsed="false">
      <c r="A94" s="15" t="n">
        <v>43745</v>
      </c>
      <c r="B94" s="16" t="n">
        <v>126.87</v>
      </c>
      <c r="C94" s="16" t="n">
        <v>131.82</v>
      </c>
      <c r="D94" s="16" t="n">
        <v>57.95</v>
      </c>
      <c r="E94" s="10" t="n">
        <v>20</v>
      </c>
      <c r="F94" s="17" t="n">
        <f aca="false">C94-B94</f>
        <v>4.94999999999999</v>
      </c>
      <c r="G94" s="18" t="n">
        <f aca="false">(B94-B94/(1+E94/100)+D94)/B94</f>
        <v>0.623433435800426</v>
      </c>
      <c r="H94" s="18" t="n">
        <f aca="false">(C94-C94/(1+E94/100)+D94)/C94</f>
        <v>0.606281292671825</v>
      </c>
    </row>
    <row r="95" customFormat="false" ht="15" hidden="false" customHeight="false" outlineLevel="0" collapsed="false">
      <c r="A95" s="15" t="n">
        <v>43752</v>
      </c>
      <c r="B95" s="16" t="n">
        <v>126.91</v>
      </c>
      <c r="C95" s="16" t="n">
        <v>131.89</v>
      </c>
      <c r="D95" s="16" t="n">
        <v>57.95</v>
      </c>
      <c r="E95" s="10" t="n">
        <v>20</v>
      </c>
      <c r="F95" s="17" t="n">
        <f aca="false">C95-B95</f>
        <v>4.97999999999999</v>
      </c>
      <c r="G95" s="18" t="n">
        <f aca="false">(B95-B95/(1+E95/100)+D95)/B95</f>
        <v>0.623289470228246</v>
      </c>
      <c r="H95" s="18" t="n">
        <f aca="false">(C95-C95/(1+E95/100)+D95)/C95</f>
        <v>0.606047969267319</v>
      </c>
    </row>
    <row r="96" customFormat="false" ht="15" hidden="false" customHeight="false" outlineLevel="0" collapsed="false">
      <c r="A96" s="15" t="n">
        <v>43759</v>
      </c>
      <c r="B96" s="16" t="n">
        <v>126.4</v>
      </c>
      <c r="C96" s="16" t="n">
        <v>131.28</v>
      </c>
      <c r="D96" s="16" t="n">
        <v>57.95</v>
      </c>
      <c r="E96" s="10" t="n">
        <v>20</v>
      </c>
      <c r="F96" s="17" t="n">
        <f aca="false">C96-B96</f>
        <v>4.88</v>
      </c>
      <c r="G96" s="18" t="n">
        <f aca="false">(B96-B96/(1+E96/100)+D96)/B96</f>
        <v>0.625131856540084</v>
      </c>
      <c r="H96" s="18" t="n">
        <f aca="false">(C96-C96/(1+E96/100)+D96)/C96</f>
        <v>0.60808957952468</v>
      </c>
    </row>
    <row r="97" customFormat="false" ht="15" hidden="false" customHeight="false" outlineLevel="0" collapsed="false">
      <c r="A97" s="15" t="n">
        <v>43766</v>
      </c>
      <c r="B97" s="16" t="n">
        <v>125.77</v>
      </c>
      <c r="C97" s="16" t="n">
        <v>130.6</v>
      </c>
      <c r="D97" s="16" t="n">
        <v>57.95</v>
      </c>
      <c r="E97" s="10" t="n">
        <v>20</v>
      </c>
      <c r="F97" s="17" t="n">
        <f aca="false">C97-B97</f>
        <v>4.83</v>
      </c>
      <c r="G97" s="18" t="n">
        <f aca="false">(B97-B97/(1+E97/100)+D97)/B97</f>
        <v>0.627428374546129</v>
      </c>
      <c r="H97" s="18" t="n">
        <f aca="false">(C97-C97/(1+E97/100)+D97)/C97</f>
        <v>0.610387953037264</v>
      </c>
    </row>
    <row r="98" customFormat="false" ht="15" hidden="false" customHeight="false" outlineLevel="0" collapsed="false">
      <c r="A98" s="15" t="n">
        <v>43773</v>
      </c>
      <c r="B98" s="16" t="n">
        <v>125.56</v>
      </c>
      <c r="C98" s="16" t="n">
        <v>130.38</v>
      </c>
      <c r="D98" s="16" t="n">
        <v>57.95</v>
      </c>
      <c r="E98" s="10" t="n">
        <v>20</v>
      </c>
      <c r="F98" s="17" t="n">
        <f aca="false">C98-B98</f>
        <v>4.81999999999999</v>
      </c>
      <c r="G98" s="18" t="n">
        <f aca="false">(B98-B98/(1+E98/100)+D98)/B98</f>
        <v>0.628199001805246</v>
      </c>
      <c r="H98" s="18" t="n">
        <f aca="false">(C98-C98/(1+E98/100)+D98)/C98</f>
        <v>0.61113667740451</v>
      </c>
    </row>
    <row r="99" customFormat="false" ht="15" hidden="false" customHeight="false" outlineLevel="0" collapsed="false">
      <c r="A99" s="15" t="n">
        <v>43780</v>
      </c>
      <c r="B99" s="16" t="n">
        <v>125.59</v>
      </c>
      <c r="C99" s="16" t="n">
        <v>130.42</v>
      </c>
      <c r="D99" s="16" t="n">
        <v>57.95</v>
      </c>
      <c r="E99" s="10" t="n">
        <v>20</v>
      </c>
      <c r="F99" s="17" t="n">
        <f aca="false">C99-B99</f>
        <v>4.82999999999998</v>
      </c>
      <c r="G99" s="18" t="n">
        <f aca="false">(B99-B99/(1+E99/100)+D99)/B99</f>
        <v>0.628088754412506</v>
      </c>
      <c r="H99" s="18" t="n">
        <f aca="false">(C99-C99/(1+E99/100)+D99)/C99</f>
        <v>0.611000357818331</v>
      </c>
    </row>
    <row r="100" customFormat="false" ht="15" hidden="false" customHeight="false" outlineLevel="0" collapsed="false">
      <c r="A100" s="15" t="n">
        <v>43787</v>
      </c>
      <c r="B100" s="16" t="n">
        <v>125.58</v>
      </c>
      <c r="C100" s="16" t="n">
        <v>130.35</v>
      </c>
      <c r="D100" s="16" t="n">
        <v>57.95</v>
      </c>
      <c r="E100" s="10" t="n">
        <v>20</v>
      </c>
      <c r="F100" s="17" t="n">
        <f aca="false">C100-B100</f>
        <v>4.77</v>
      </c>
      <c r="G100" s="18" t="n">
        <f aca="false">(B100-B100/(1+E100/100)+D100)/B100</f>
        <v>0.628125497690715</v>
      </c>
      <c r="H100" s="18" t="n">
        <f aca="false">(C100-C100/(1+E100/100)+D100)/C100</f>
        <v>0.611238971998466</v>
      </c>
    </row>
    <row r="101" customFormat="false" ht="15" hidden="false" customHeight="false" outlineLevel="0" collapsed="false">
      <c r="A101" s="15" t="n">
        <v>43794</v>
      </c>
      <c r="B101" s="16" t="n">
        <v>125.32</v>
      </c>
      <c r="C101" s="16" t="n">
        <v>130.08</v>
      </c>
      <c r="D101" s="16" t="n">
        <v>57.95</v>
      </c>
      <c r="E101" s="10" t="n">
        <v>20</v>
      </c>
      <c r="F101" s="17" t="n">
        <f aca="false">C101-B101</f>
        <v>4.76000000000002</v>
      </c>
      <c r="G101" s="18" t="n">
        <f aca="false">(B101-B101/(1+E101/100)+D101)/B101</f>
        <v>0.62908288115757</v>
      </c>
      <c r="H101" s="18" t="n">
        <f aca="false">(C101-C101/(1+E101/100)+D101)/C101</f>
        <v>0.612161746617466</v>
      </c>
    </row>
    <row r="102" customFormat="false" ht="15" hidden="false" customHeight="false" outlineLevel="0" collapsed="false">
      <c r="A102" s="15" t="n">
        <v>43801</v>
      </c>
      <c r="B102" s="16" t="n">
        <v>124.81</v>
      </c>
      <c r="C102" s="16" t="n">
        <v>129.79</v>
      </c>
      <c r="D102" s="16" t="n">
        <v>57.95</v>
      </c>
      <c r="E102" s="10" t="n">
        <v>20</v>
      </c>
      <c r="F102" s="17" t="n">
        <f aca="false">C102-B102</f>
        <v>4.97999999999999</v>
      </c>
      <c r="G102" s="18" t="n">
        <f aca="false">(B102-B102/(1+E102/100)+D102)/B102</f>
        <v>0.630972411398659</v>
      </c>
      <c r="H102" s="18" t="n">
        <f aca="false">(C102-C102/(1+E102/100)+D102)/C102</f>
        <v>0.613157151295683</v>
      </c>
    </row>
    <row r="103" customFormat="false" ht="15" hidden="false" customHeight="false" outlineLevel="0" collapsed="false">
      <c r="A103" s="15" t="n">
        <v>43808</v>
      </c>
      <c r="B103" s="16" t="n">
        <v>124.75</v>
      </c>
      <c r="C103" s="16" t="n">
        <v>129.79</v>
      </c>
      <c r="D103" s="16" t="n">
        <v>57.95</v>
      </c>
      <c r="E103" s="10" t="n">
        <v>20</v>
      </c>
      <c r="F103" s="17" t="n">
        <f aca="false">C103-B103</f>
        <v>5.03999999999999</v>
      </c>
      <c r="G103" s="18" t="n">
        <f aca="false">(B103-B103/(1+E103/100)+D103)/B103</f>
        <v>0.631195724782899</v>
      </c>
      <c r="H103" s="18" t="n">
        <f aca="false">(C103-C103/(1+E103/100)+D103)/C103</f>
        <v>0.613157151295683</v>
      </c>
    </row>
    <row r="104" customFormat="false" ht="15" hidden="false" customHeight="false" outlineLevel="0" collapsed="false">
      <c r="A104" s="15" t="n">
        <v>43815</v>
      </c>
      <c r="B104" s="16" t="n">
        <v>124.33</v>
      </c>
      <c r="C104" s="16" t="n">
        <v>129.56</v>
      </c>
      <c r="D104" s="16" t="n">
        <v>57.95</v>
      </c>
      <c r="E104" s="10" t="n">
        <v>20</v>
      </c>
      <c r="F104" s="17" t="n">
        <f aca="false">C104-B104</f>
        <v>5.23</v>
      </c>
      <c r="G104" s="18" t="n">
        <f aca="false">(B104-B104/(1+E104/100)+D104)/B104</f>
        <v>0.632764953484008</v>
      </c>
      <c r="H104" s="18" t="n">
        <f aca="false">(C104-C104/(1+E104/100)+D104)/C104</f>
        <v>0.613949778738294</v>
      </c>
    </row>
    <row r="105" customFormat="false" ht="15" hidden="false" customHeight="false" outlineLevel="0" collapsed="false">
      <c r="A105" s="15" t="n">
        <v>43822</v>
      </c>
      <c r="B105" s="16" t="n">
        <v>124.16</v>
      </c>
      <c r="C105" s="16" t="n">
        <v>129.81</v>
      </c>
      <c r="D105" s="16" t="n">
        <v>57.95</v>
      </c>
      <c r="E105" s="10" t="n">
        <v>20</v>
      </c>
      <c r="F105" s="17" t="n">
        <f aca="false">C105-B105</f>
        <v>5.65000000000001</v>
      </c>
      <c r="G105" s="18" t="n">
        <f aca="false">(B105-B105/(1+E105/100)+D105)/B105</f>
        <v>0.633403135738832</v>
      </c>
      <c r="H105" s="18" t="n">
        <f aca="false">(C105-C105/(1+E105/100)+D105)/C105</f>
        <v>0.613088359910639</v>
      </c>
    </row>
    <row r="106" customFormat="false" ht="15" hidden="false" customHeight="false" outlineLevel="0" collapsed="false">
      <c r="A106" s="15" t="n">
        <v>43829</v>
      </c>
      <c r="B106" s="16" t="n">
        <v>124.96</v>
      </c>
      <c r="C106" s="16" t="n">
        <v>130.54</v>
      </c>
      <c r="D106" s="16" t="n">
        <v>57.95</v>
      </c>
      <c r="E106" s="10" t="n">
        <v>20</v>
      </c>
      <c r="F106" s="17" t="n">
        <f aca="false">C106-B106</f>
        <v>5.58</v>
      </c>
      <c r="G106" s="18" t="n">
        <f aca="false">(B106-B106/(1+E106/100)+D106)/B106</f>
        <v>0.630415066154503</v>
      </c>
      <c r="H106" s="18" t="n">
        <f aca="false">(C106-C106/(1+E106/100)+D106)/C106</f>
        <v>0.610591900311527</v>
      </c>
    </row>
    <row r="107" customFormat="false" ht="15" hidden="false" customHeight="false" outlineLevel="0" collapsed="false">
      <c r="A107" s="15" t="n">
        <v>43836</v>
      </c>
      <c r="B107" s="16" t="n">
        <v>126.09</v>
      </c>
      <c r="C107" s="16" t="n">
        <v>131.56</v>
      </c>
      <c r="D107" s="16" t="n">
        <v>57.95</v>
      </c>
      <c r="E107" s="10" t="n">
        <v>20</v>
      </c>
      <c r="F107" s="17" t="n">
        <f aca="false">C107-B107</f>
        <v>5.47</v>
      </c>
      <c r="G107" s="18" t="n">
        <f aca="false">(B107-B107/(1+E107/100)+D107)/B107</f>
        <v>0.626259021333968</v>
      </c>
      <c r="H107" s="18" t="n">
        <f aca="false">(C107-C107/(1+E107/100)+D107)/C107</f>
        <v>0.607150096280531</v>
      </c>
    </row>
    <row r="108" customFormat="false" ht="15" hidden="false" customHeight="false" outlineLevel="0" collapsed="false">
      <c r="A108" s="15" t="n">
        <v>43843</v>
      </c>
      <c r="B108" s="16" t="n">
        <v>127.17</v>
      </c>
      <c r="C108" s="16" t="n">
        <v>132.69</v>
      </c>
      <c r="D108" s="16" t="n">
        <v>57.95</v>
      </c>
      <c r="E108" s="10" t="n">
        <v>20</v>
      </c>
      <c r="F108" s="17" t="n">
        <f aca="false">C108-B108</f>
        <v>5.52</v>
      </c>
      <c r="G108" s="18" t="n">
        <f aca="false">(B108-B108/(1+E108/100)+D108)/B108</f>
        <v>0.622355901549108</v>
      </c>
      <c r="H108" s="18" t="n">
        <f aca="false">(C108-C108/(1+E108/100)+D108)/C108</f>
        <v>0.603398899691009</v>
      </c>
    </row>
    <row r="109" customFormat="false" ht="15" hidden="false" customHeight="false" outlineLevel="0" collapsed="false">
      <c r="A109" s="15" t="n">
        <v>43850</v>
      </c>
      <c r="B109" s="16" t="n">
        <v>127.18</v>
      </c>
      <c r="C109" s="16" t="n">
        <v>132.74</v>
      </c>
      <c r="D109" s="16" t="n">
        <v>57.95</v>
      </c>
      <c r="E109" s="10" t="n">
        <v>20</v>
      </c>
      <c r="F109" s="17" t="n">
        <f aca="false">C109-B109</f>
        <v>5.56</v>
      </c>
      <c r="G109" s="18" t="n">
        <f aca="false">(B109-B109/(1+E109/100)+D109)/B109</f>
        <v>0.622320071290035</v>
      </c>
      <c r="H109" s="18" t="n">
        <f aca="false">(C109-C109/(1+E109/100)+D109)/C109</f>
        <v>0.603234393049068</v>
      </c>
    </row>
    <row r="110" customFormat="false" ht="15" hidden="false" customHeight="false" outlineLevel="0" collapsed="false">
      <c r="A110" s="15" t="n">
        <v>43857</v>
      </c>
      <c r="B110" s="16" t="n">
        <v>127.33</v>
      </c>
      <c r="C110" s="16" t="n">
        <v>132.88</v>
      </c>
      <c r="D110" s="16" t="n">
        <v>57.95</v>
      </c>
      <c r="E110" s="10" t="n">
        <v>20</v>
      </c>
      <c r="F110" s="17" t="n">
        <f aca="false">C110-B110</f>
        <v>5.55</v>
      </c>
      <c r="G110" s="18" t="n">
        <f aca="false">(B110-B110/(1+E110/100)+D110)/B110</f>
        <v>0.621783292756355</v>
      </c>
      <c r="H110" s="18" t="n">
        <f aca="false">(C110-C110/(1+E110/100)+D110)/C110</f>
        <v>0.602774433072446</v>
      </c>
    </row>
    <row r="111" customFormat="false" ht="15" hidden="false" customHeight="false" outlineLevel="0" collapsed="false">
      <c r="A111" s="15" t="n">
        <v>43864</v>
      </c>
      <c r="B111" s="16" t="n">
        <v>125.85</v>
      </c>
      <c r="C111" s="16" t="n">
        <v>131.48</v>
      </c>
      <c r="D111" s="16" t="n">
        <v>57.95</v>
      </c>
      <c r="E111" s="10" t="n">
        <v>20</v>
      </c>
      <c r="F111" s="17" t="n">
        <f aca="false">C111-B111</f>
        <v>5.63</v>
      </c>
      <c r="G111" s="18" t="n">
        <f aca="false">(B111-B111/(1+E111/100)+D111)/B111</f>
        <v>0.627135478744537</v>
      </c>
      <c r="H111" s="18" t="n">
        <f aca="false">(C111-C111/(1+E111/100)+D111)/C111</f>
        <v>0.607418111753372</v>
      </c>
    </row>
    <row r="112" customFormat="false" ht="15" hidden="false" customHeight="false" outlineLevel="0" collapsed="false">
      <c r="A112" s="15" t="n">
        <v>43871</v>
      </c>
      <c r="B112" s="16" t="n">
        <v>124.73</v>
      </c>
      <c r="C112" s="16" t="n">
        <v>129.7</v>
      </c>
      <c r="D112" s="16" t="n">
        <v>57.95</v>
      </c>
      <c r="E112" s="10" t="n">
        <v>20</v>
      </c>
      <c r="F112" s="17" t="n">
        <f aca="false">C112-B112</f>
        <v>4.96999999999999</v>
      </c>
      <c r="G112" s="18" t="n">
        <f aca="false">(B112-B112/(1+E112/100)+D112)/B112</f>
        <v>0.63127021032096</v>
      </c>
      <c r="H112" s="18" t="n">
        <f aca="false">(C112-C112/(1+E112/100)+D112)/C112</f>
        <v>0.613466975070676</v>
      </c>
    </row>
    <row r="113" customFormat="false" ht="15" hidden="false" customHeight="false" outlineLevel="0" collapsed="false">
      <c r="A113" s="15" t="n">
        <v>43878</v>
      </c>
      <c r="B113" s="16" t="n">
        <v>123.8</v>
      </c>
      <c r="C113" s="16" t="n">
        <v>128.2</v>
      </c>
      <c r="D113" s="16" t="n">
        <v>57.95</v>
      </c>
      <c r="E113" s="10" t="n">
        <v>20</v>
      </c>
      <c r="F113" s="17" t="n">
        <f aca="false">C113-B113</f>
        <v>4.39999999999999</v>
      </c>
      <c r="G113" s="18" t="n">
        <f aca="false">(B113-B113/(1+E113/100)+D113)/B113</f>
        <v>0.634760366182014</v>
      </c>
      <c r="H113" s="18" t="n">
        <f aca="false">(C113-C113/(1+E113/100)+D113)/C113</f>
        <v>0.618694747789912</v>
      </c>
    </row>
    <row r="114" customFormat="false" ht="15" hidden="false" customHeight="false" outlineLevel="0" collapsed="false">
      <c r="A114" s="15" t="n">
        <v>43885</v>
      </c>
      <c r="B114" s="16" t="n">
        <v>123.45</v>
      </c>
      <c r="C114" s="16" t="n">
        <v>127.67</v>
      </c>
      <c r="D114" s="16" t="n">
        <v>57.95</v>
      </c>
      <c r="E114" s="10" t="n">
        <v>20</v>
      </c>
      <c r="F114" s="17" t="n">
        <f aca="false">C114-B114</f>
        <v>4.22</v>
      </c>
      <c r="G114" s="18" t="n">
        <f aca="false">(B114-B114/(1+E114/100)+D114)/B114</f>
        <v>0.636087484811665</v>
      </c>
      <c r="H114" s="18" t="n">
        <f aca="false">(C114-C114/(1+E114/100)+D114)/C114</f>
        <v>0.620571264457847</v>
      </c>
    </row>
    <row r="115" customFormat="false" ht="15" hidden="false" customHeight="false" outlineLevel="0" collapsed="false">
      <c r="A115" s="15" t="n">
        <v>43892</v>
      </c>
      <c r="B115" s="16" t="n">
        <v>122.43</v>
      </c>
      <c r="C115" s="16" t="n">
        <v>126.62</v>
      </c>
      <c r="D115" s="16" t="n">
        <v>57.95</v>
      </c>
      <c r="E115" s="10" t="n">
        <v>20</v>
      </c>
      <c r="F115" s="17" t="n">
        <f aca="false">C115-B115</f>
        <v>4.19</v>
      </c>
      <c r="G115" s="18" t="n">
        <f aca="false">(B115-B115/(1+E115/100)+D115)/B115</f>
        <v>0.639998366413461</v>
      </c>
      <c r="H115" s="18" t="n">
        <f aca="false">(C115-C115/(1+E115/100)+D115)/C115</f>
        <v>0.62433528141947</v>
      </c>
    </row>
    <row r="116" customFormat="false" ht="15" hidden="false" customHeight="false" outlineLevel="0" collapsed="false">
      <c r="A116" s="15" t="n">
        <v>43899</v>
      </c>
      <c r="B116" s="16" t="n">
        <v>122.24</v>
      </c>
      <c r="C116" s="16" t="n">
        <v>126.25</v>
      </c>
      <c r="D116" s="16" t="n">
        <v>57.95</v>
      </c>
      <c r="E116" s="10" t="n">
        <v>20</v>
      </c>
      <c r="F116" s="17" t="n">
        <f aca="false">C116-B116</f>
        <v>4.01000000000001</v>
      </c>
      <c r="G116" s="18" t="n">
        <f aca="false">(B116-B116/(1+E116/100)+D116)/B116</f>
        <v>0.64073407504363</v>
      </c>
      <c r="H116" s="18" t="n">
        <f aca="false">(C116-C116/(1+E116/100)+D116)/C116</f>
        <v>0.625676567656766</v>
      </c>
    </row>
    <row r="117" customFormat="false" ht="15" hidden="false" customHeight="false" outlineLevel="0" collapsed="false">
      <c r="A117" s="15" t="n">
        <v>43906</v>
      </c>
      <c r="B117" s="16" t="n">
        <v>120.33</v>
      </c>
      <c r="C117" s="16" t="n">
        <v>124.36</v>
      </c>
      <c r="D117" s="16" t="n">
        <v>57.95</v>
      </c>
      <c r="E117" s="10" t="n">
        <v>20</v>
      </c>
      <c r="F117" s="17" t="n">
        <f aca="false">C117-B117</f>
        <v>4.03</v>
      </c>
      <c r="G117" s="18" t="n">
        <f aca="false">(B117-B117/(1+E117/100)+D117)/B117</f>
        <v>0.648258954541677</v>
      </c>
      <c r="H117" s="18" t="n">
        <f aca="false">(C117-C117/(1+E117/100)+D117)/C117</f>
        <v>0.632652514206068</v>
      </c>
    </row>
    <row r="118" customFormat="false" ht="15" hidden="false" customHeight="false" outlineLevel="0" collapsed="false">
      <c r="A118" s="15" t="n">
        <v>43913</v>
      </c>
      <c r="B118" s="16" t="n">
        <v>119.64</v>
      </c>
      <c r="C118" s="16" t="n">
        <v>123.41</v>
      </c>
      <c r="D118" s="16" t="n">
        <v>57.95</v>
      </c>
      <c r="E118" s="10" t="n">
        <v>20</v>
      </c>
      <c r="F118" s="17" t="n">
        <f aca="false">C118-B118</f>
        <v>3.77</v>
      </c>
      <c r="G118" s="18" t="n">
        <f aca="false">(B118-B118/(1+E118/100)+D118)/B118</f>
        <v>0.651036442661317</v>
      </c>
      <c r="H118" s="18" t="n">
        <f aca="false">(C118-C118/(1+E118/100)+D118)/C118</f>
        <v>0.636239634821597</v>
      </c>
    </row>
    <row r="119" customFormat="false" ht="15" hidden="false" customHeight="false" outlineLevel="0" collapsed="false">
      <c r="A119" s="15" t="n">
        <v>43920</v>
      </c>
      <c r="B119" s="16" t="n">
        <v>112.45</v>
      </c>
      <c r="C119" s="16" t="n">
        <v>118.6</v>
      </c>
      <c r="D119" s="16" t="n">
        <v>57.95</v>
      </c>
      <c r="E119" s="10" t="n">
        <v>20</v>
      </c>
      <c r="F119" s="17" t="n">
        <f aca="false">C119-B119</f>
        <v>6.14999999999999</v>
      </c>
      <c r="G119" s="18" t="n">
        <f aca="false">(B119-B119/(1+E119/100)+D119)/B119</f>
        <v>0.682006817844968</v>
      </c>
      <c r="H119" s="18" t="n">
        <f aca="false">(C119-C119/(1+E119/100)+D119)/C119</f>
        <v>0.655283867341203</v>
      </c>
    </row>
    <row r="120" customFormat="false" ht="15" hidden="false" customHeight="false" outlineLevel="0" collapsed="false">
      <c r="A120" s="15" t="n">
        <v>43927</v>
      </c>
      <c r="B120" s="16" t="n">
        <v>110.23</v>
      </c>
      <c r="C120" s="16" t="n">
        <v>116.83</v>
      </c>
      <c r="D120" s="16" t="n">
        <v>57.95</v>
      </c>
      <c r="E120" s="10" t="n">
        <v>20</v>
      </c>
      <c r="F120" s="17" t="n">
        <f aca="false">C120-B120</f>
        <v>6.59999999999999</v>
      </c>
      <c r="G120" s="18" t="n">
        <f aca="false">(B120-B120/(1+E120/100)+D120)/B120</f>
        <v>0.692385617950346</v>
      </c>
      <c r="H120" s="18" t="n">
        <f aca="false">(C120-C120/(1+E120/100)+D120)/C120</f>
        <v>0.662686524579874</v>
      </c>
    </row>
    <row r="121" customFormat="false" ht="15" hidden="false" customHeight="false" outlineLevel="0" collapsed="false">
      <c r="A121" s="15" t="n">
        <v>43934</v>
      </c>
      <c r="B121" s="16" t="n">
        <v>109.27</v>
      </c>
      <c r="C121" s="16" t="n">
        <v>116.15</v>
      </c>
      <c r="D121" s="16" t="n">
        <v>57.95</v>
      </c>
      <c r="E121" s="10" t="n">
        <v>20</v>
      </c>
      <c r="F121" s="17" t="n">
        <f aca="false">C121-B121</f>
        <v>6.88000000000001</v>
      </c>
      <c r="G121" s="18" t="n">
        <f aca="false">(B121-B121/(1+E121/100)+D121)/B121</f>
        <v>0.69700436228303</v>
      </c>
      <c r="H121" s="18" t="n">
        <f aca="false">(C121-C121/(1+E121/100)+D121)/C121</f>
        <v>0.665590472090687</v>
      </c>
    </row>
    <row r="122" customFormat="false" ht="15" hidden="false" customHeight="false" outlineLevel="0" collapsed="false">
      <c r="A122" s="15" t="n">
        <v>43941</v>
      </c>
      <c r="B122" s="16" t="n">
        <v>108.63</v>
      </c>
      <c r="C122" s="16" t="n">
        <v>115.73</v>
      </c>
      <c r="D122" s="16" t="n">
        <v>57.95</v>
      </c>
      <c r="E122" s="10" t="n">
        <v>20</v>
      </c>
      <c r="F122" s="17" t="n">
        <f aca="false">C122-B122</f>
        <v>7.10000000000001</v>
      </c>
      <c r="G122" s="18" t="n">
        <f aca="false">(B122-B122/(1+E122/100)+D122)/B122</f>
        <v>0.700128877842217</v>
      </c>
      <c r="H122" s="18" t="n">
        <f aca="false">(C122-C122/(1+E122/100)+D122)/C122</f>
        <v>0.667401134825312</v>
      </c>
    </row>
    <row r="123" customFormat="false" ht="15" hidden="false" customHeight="false" outlineLevel="0" collapsed="false">
      <c r="A123" s="15" t="n">
        <v>43948</v>
      </c>
      <c r="B123" s="16" t="n">
        <v>107.88</v>
      </c>
      <c r="C123" s="16" t="n">
        <v>115.22</v>
      </c>
      <c r="D123" s="16" t="n">
        <v>57.95</v>
      </c>
      <c r="E123" s="10" t="n">
        <v>20</v>
      </c>
      <c r="F123" s="17" t="n">
        <f aca="false">C123-B123</f>
        <v>7.34</v>
      </c>
      <c r="G123" s="18" t="n">
        <f aca="false">(B123-B123/(1+E123/100)+D123)/B123</f>
        <v>0.703837597330367</v>
      </c>
      <c r="H123" s="18" t="n">
        <f aca="false">(C123-C123/(1+E123/100)+D123)/C123</f>
        <v>0.669617543250593</v>
      </c>
    </row>
    <row r="124" customFormat="false" ht="15" hidden="false" customHeight="false" outlineLevel="0" collapsed="false">
      <c r="A124" s="15" t="n">
        <v>43955</v>
      </c>
      <c r="B124" s="16" t="n">
        <v>107.56</v>
      </c>
      <c r="C124" s="16" t="n">
        <v>114.94</v>
      </c>
      <c r="D124" s="16" t="n">
        <v>57.95</v>
      </c>
      <c r="E124" s="10" t="n">
        <v>20</v>
      </c>
      <c r="F124" s="17" t="n">
        <f aca="false">C124-B124</f>
        <v>7.38</v>
      </c>
      <c r="G124" s="18" t="n">
        <f aca="false">(B124-B124/(1+E124/100)+D124)/B124</f>
        <v>0.705435725796455</v>
      </c>
      <c r="H124" s="18" t="n">
        <f aca="false">(C124-C124/(1+E124/100)+D124)/C124</f>
        <v>0.670842758540688</v>
      </c>
    </row>
    <row r="125" customFormat="false" ht="15" hidden="false" customHeight="false" outlineLevel="0" collapsed="false">
      <c r="A125" s="15" t="n">
        <v>43962</v>
      </c>
      <c r="B125" s="16" t="n">
        <v>107.45</v>
      </c>
      <c r="C125" s="16" t="n">
        <v>114.83</v>
      </c>
      <c r="D125" s="16" t="n">
        <v>57.95</v>
      </c>
      <c r="E125" s="10" t="n">
        <v>20</v>
      </c>
      <c r="F125" s="17" t="n">
        <f aca="false">C125-B125</f>
        <v>7.38</v>
      </c>
      <c r="G125" s="18" t="n">
        <f aca="false">(B125-B125/(1+E125/100)+D125)/B125</f>
        <v>0.705987280905848</v>
      </c>
      <c r="H125" s="18" t="n">
        <f aca="false">(C125-C125/(1+E125/100)+D125)/C125</f>
        <v>0.671325727887602</v>
      </c>
    </row>
    <row r="126" customFormat="false" ht="15" hidden="false" customHeight="false" outlineLevel="0" collapsed="false">
      <c r="A126" s="15" t="n">
        <v>43969</v>
      </c>
      <c r="B126" s="16" t="n">
        <v>105.09</v>
      </c>
      <c r="C126" s="16" t="n">
        <v>112.22</v>
      </c>
      <c r="D126" s="16" t="n">
        <v>57.95</v>
      </c>
      <c r="E126" s="10" t="n">
        <v>20</v>
      </c>
      <c r="F126" s="17" t="n">
        <f aca="false">C126-B126</f>
        <v>7.13</v>
      </c>
      <c r="G126" s="18" t="n">
        <f aca="false">(B126-B126/(1+E126/100)+D126)/B126</f>
        <v>0.718098772480731</v>
      </c>
      <c r="H126" s="18" t="n">
        <f aca="false">(C126-C126/(1+E126/100)+D126)/C126</f>
        <v>0.683063030951108</v>
      </c>
    </row>
    <row r="127" customFormat="false" ht="15" hidden="false" customHeight="false" outlineLevel="0" collapsed="false">
      <c r="A127" s="15" t="n">
        <v>43976</v>
      </c>
      <c r="B127" s="16" t="n">
        <v>104.87</v>
      </c>
      <c r="C127" s="16" t="n">
        <v>111.7</v>
      </c>
      <c r="D127" s="16" t="n">
        <v>57.95</v>
      </c>
      <c r="E127" s="10" t="n">
        <v>20</v>
      </c>
      <c r="F127" s="17" t="n">
        <f aca="false">C127-B127</f>
        <v>6.83</v>
      </c>
      <c r="G127" s="18" t="n">
        <f aca="false">(B127-B127/(1+E127/100)+D127)/B127</f>
        <v>0.719255586281428</v>
      </c>
      <c r="H127" s="18" t="n">
        <f aca="false">(C127-C127/(1+E127/100)+D127)/C127</f>
        <v>0.685467024768726</v>
      </c>
    </row>
    <row r="128" customFormat="false" ht="15" hidden="false" customHeight="false" outlineLevel="0" collapsed="false">
      <c r="A128" s="15" t="n">
        <v>43983</v>
      </c>
      <c r="B128" s="16" t="n">
        <v>105.17</v>
      </c>
      <c r="C128" s="16" t="n">
        <v>111.76</v>
      </c>
      <c r="D128" s="16" t="n">
        <v>57.95</v>
      </c>
      <c r="E128" s="10" t="n">
        <v>20</v>
      </c>
      <c r="F128" s="17" t="n">
        <f aca="false">C128-B128</f>
        <v>6.59</v>
      </c>
      <c r="G128" s="18" t="n">
        <f aca="false">(B128-B128/(1+E128/100)+D128)/B128</f>
        <v>0.717679312858547</v>
      </c>
      <c r="H128" s="18" t="n">
        <f aca="false">(C128-C128/(1+E128/100)+D128)/C128</f>
        <v>0.685188499164877</v>
      </c>
    </row>
    <row r="129" customFormat="false" ht="15" hidden="false" customHeight="false" outlineLevel="0" collapsed="false">
      <c r="A129" s="15" t="n">
        <v>43990</v>
      </c>
      <c r="B129" s="16" t="n">
        <v>105.74</v>
      </c>
      <c r="C129" s="16" t="n">
        <v>111.98</v>
      </c>
      <c r="D129" s="16" t="n">
        <v>57.95</v>
      </c>
      <c r="E129" s="10" t="n">
        <v>20</v>
      </c>
      <c r="F129" s="17" t="n">
        <f aca="false">C129-B129</f>
        <v>6.24000000000001</v>
      </c>
      <c r="G129" s="18" t="n">
        <f aca="false">(B129-B129/(1+E129/100)+D129)/B129</f>
        <v>0.714709034739298</v>
      </c>
      <c r="H129" s="18" t="n">
        <f aca="false">(C129-C129/(1+E129/100)+D129)/C129</f>
        <v>0.684169792224802</v>
      </c>
    </row>
    <row r="130" customFormat="false" ht="15" hidden="false" customHeight="false" outlineLevel="0" collapsed="false">
      <c r="A130" s="15" t="n">
        <v>43997</v>
      </c>
      <c r="B130" s="16" t="n">
        <v>106.37</v>
      </c>
      <c r="C130" s="16" t="n">
        <v>112.53</v>
      </c>
      <c r="D130" s="16" t="n">
        <v>57.95</v>
      </c>
      <c r="E130" s="10" t="n">
        <v>20</v>
      </c>
      <c r="F130" s="17" t="n">
        <f aca="false">C130-B130</f>
        <v>6.16</v>
      </c>
      <c r="G130" s="18" t="n">
        <f aca="false">(B130-B130/(1+E130/100)+D130)/B130</f>
        <v>0.711463131835417</v>
      </c>
      <c r="H130" s="18" t="n">
        <f aca="false">(C130-C130/(1+E130/100)+D130)/C130</f>
        <v>0.681640451435173</v>
      </c>
    </row>
    <row r="131" customFormat="false" ht="15" hidden="false" customHeight="false" outlineLevel="0" collapsed="false">
      <c r="A131" s="15" t="n">
        <v>44004</v>
      </c>
      <c r="B131" s="16" t="n">
        <v>107.13</v>
      </c>
      <c r="C131" s="16" t="n">
        <v>112.98</v>
      </c>
      <c r="D131" s="16" t="n">
        <v>57.95</v>
      </c>
      <c r="E131" s="10" t="n">
        <v>20</v>
      </c>
      <c r="F131" s="17" t="n">
        <f aca="false">C131-B131</f>
        <v>5.85000000000001</v>
      </c>
      <c r="G131" s="18" t="n">
        <f aca="false">(B131-B131/(1+E131/100)+D131)/B131</f>
        <v>0.707598245122748</v>
      </c>
      <c r="H131" s="18" t="n">
        <f aca="false">(C131-C131/(1+E131/100)+D131)/C131</f>
        <v>0.679589307842096</v>
      </c>
    </row>
    <row r="132" customFormat="false" ht="15" hidden="false" customHeight="false" outlineLevel="0" collapsed="false">
      <c r="A132" s="15" t="n">
        <v>44011</v>
      </c>
      <c r="B132" s="16" t="n">
        <v>108.31</v>
      </c>
      <c r="C132" s="16" t="n">
        <v>114.1</v>
      </c>
      <c r="D132" s="16" t="n">
        <v>57.95</v>
      </c>
      <c r="E132" s="10" t="n">
        <v>20</v>
      </c>
      <c r="F132" s="17" t="n">
        <f aca="false">C132-B132</f>
        <v>5.78999999999999</v>
      </c>
      <c r="G132" s="18" t="n">
        <f aca="false">(B132-B132/(1+E132/100)+D132)/B132</f>
        <v>0.701704982611639</v>
      </c>
      <c r="H132" s="18" t="n">
        <f aca="false">(C132-C132/(1+E132/100)+D132)/C132</f>
        <v>0.674554484370435</v>
      </c>
    </row>
    <row r="133" customFormat="false" ht="15" hidden="false" customHeight="false" outlineLevel="0" collapsed="false">
      <c r="A133" s="15" t="n">
        <v>44018</v>
      </c>
      <c r="B133" s="16" t="n">
        <v>109.43</v>
      </c>
      <c r="C133" s="16" t="n">
        <v>115.05</v>
      </c>
      <c r="D133" s="16" t="n">
        <v>57.95</v>
      </c>
      <c r="E133" s="10" t="n">
        <v>20</v>
      </c>
      <c r="F133" s="17" t="n">
        <f aca="false">C133-B133</f>
        <v>5.61999999999999</v>
      </c>
      <c r="G133" s="18" t="n">
        <f aca="false">(B133-B133/(1+E133/100)+D133)/B133</f>
        <v>0.696228943921533</v>
      </c>
      <c r="H133" s="18" t="n">
        <f aca="false">(C133-C133/(1+E133/100)+D133)/C133</f>
        <v>0.670360712733594</v>
      </c>
    </row>
    <row r="134" customFormat="false" ht="15" hidden="false" customHeight="false" outlineLevel="0" collapsed="false">
      <c r="A134" s="15" t="n">
        <v>44025</v>
      </c>
      <c r="B134" s="16" t="n">
        <v>111.24</v>
      </c>
      <c r="C134" s="16" t="n">
        <v>116.75</v>
      </c>
      <c r="D134" s="16" t="n">
        <v>57.95</v>
      </c>
      <c r="E134" s="10" t="n">
        <v>20</v>
      </c>
      <c r="F134" s="17" t="n">
        <f aca="false">C134-B134</f>
        <v>5.51000000000001</v>
      </c>
      <c r="G134" s="18" t="n">
        <f aca="false">(B134-B134/(1+E134/100)+D134)/B134</f>
        <v>0.687612369651205</v>
      </c>
      <c r="H134" s="18" t="n">
        <f aca="false">(C134-C134/(1+E134/100)+D134)/C134</f>
        <v>0.663026409707352</v>
      </c>
    </row>
    <row r="135" customFormat="false" ht="15" hidden="false" customHeight="false" outlineLevel="0" collapsed="false">
      <c r="A135" s="15" t="n">
        <v>44032</v>
      </c>
      <c r="B135" s="16" t="n">
        <v>112.23</v>
      </c>
      <c r="C135" s="16" t="n">
        <v>117.35</v>
      </c>
      <c r="D135" s="16" t="n">
        <v>57.95</v>
      </c>
      <c r="E135" s="10" t="n">
        <v>20</v>
      </c>
      <c r="F135" s="17" t="n">
        <f aca="false">C135-B135</f>
        <v>5.11999999999999</v>
      </c>
      <c r="G135" s="18" t="n">
        <f aca="false">(B135-B135/(1+E135/100)+D135)/B135</f>
        <v>0.683017018622472</v>
      </c>
      <c r="H135" s="18" t="n">
        <f aca="false">(C135-C135/(1+E135/100)+D135)/C135</f>
        <v>0.66048856696492</v>
      </c>
    </row>
    <row r="136" customFormat="false" ht="15" hidden="false" customHeight="false" outlineLevel="0" collapsed="false">
      <c r="A136" s="15" t="n">
        <v>44039</v>
      </c>
      <c r="B136" s="16" t="n">
        <v>112.66</v>
      </c>
      <c r="C136" s="16" t="n">
        <v>117.76</v>
      </c>
      <c r="D136" s="16" t="n">
        <v>57.95</v>
      </c>
      <c r="E136" s="10" t="n">
        <v>20</v>
      </c>
      <c r="F136" s="17" t="n">
        <f aca="false">C136-B136</f>
        <v>5.10000000000001</v>
      </c>
      <c r="G136" s="18" t="n">
        <f aca="false">(B136-B136/(1+E136/100)+D136)/B136</f>
        <v>0.681046215752411</v>
      </c>
      <c r="H136" s="18" t="n">
        <f aca="false">(C136-C136/(1+E136/100)+D136)/C136</f>
        <v>0.658769248188406</v>
      </c>
    </row>
    <row r="137" customFormat="false" ht="15" hidden="false" customHeight="false" outlineLevel="0" collapsed="false">
      <c r="A137" s="15" t="n">
        <v>44046</v>
      </c>
      <c r="B137" s="16" t="n">
        <v>112.91</v>
      </c>
      <c r="C137" s="16" t="n">
        <v>117.97</v>
      </c>
      <c r="D137" s="16" t="n">
        <v>57.95</v>
      </c>
      <c r="E137" s="10" t="n">
        <v>20</v>
      </c>
      <c r="F137" s="17" t="n">
        <f aca="false">C137-B137</f>
        <v>5.06</v>
      </c>
      <c r="G137" s="18" t="n">
        <f aca="false">(B137-B137/(1+E137/100)+D137)/B137</f>
        <v>0.679907300800047</v>
      </c>
      <c r="H137" s="18" t="n">
        <f aca="false">(C137-C137/(1+E137/100)+D137)/C137</f>
        <v>0.65789324969625</v>
      </c>
    </row>
    <row r="138" customFormat="false" ht="15" hidden="false" customHeight="false" outlineLevel="0" collapsed="false">
      <c r="A138" s="15" t="n">
        <v>44053</v>
      </c>
      <c r="B138" s="16" t="n">
        <v>113.02</v>
      </c>
      <c r="C138" s="16" t="n">
        <v>118.01</v>
      </c>
      <c r="D138" s="16" t="n">
        <v>57.95</v>
      </c>
      <c r="E138" s="10" t="n">
        <v>20</v>
      </c>
      <c r="F138" s="17" t="n">
        <f aca="false">C138-B138</f>
        <v>4.99000000000001</v>
      </c>
      <c r="G138" s="18" t="n">
        <f aca="false">(B138-B138/(1+E138/100)+D138)/B138</f>
        <v>0.679407774435203</v>
      </c>
      <c r="H138" s="18" t="n">
        <f aca="false">(C138-C138/(1+E138/100)+D138)/C138</f>
        <v>0.657726746320933</v>
      </c>
    </row>
    <row r="139" customFormat="false" ht="15" hidden="false" customHeight="false" outlineLevel="0" collapsed="false">
      <c r="A139" s="15" t="n">
        <v>44060</v>
      </c>
      <c r="B139" s="16" t="n">
        <v>113.04</v>
      </c>
      <c r="C139" s="16" t="n">
        <v>118</v>
      </c>
      <c r="D139" s="16" t="n">
        <v>57.95</v>
      </c>
      <c r="E139" s="10" t="n">
        <v>20</v>
      </c>
      <c r="F139" s="17" t="n">
        <f aca="false">C139-B139</f>
        <v>4.95999999999999</v>
      </c>
      <c r="G139" s="18" t="n">
        <f aca="false">(B139-B139/(1+E139/100)+D139)/B139</f>
        <v>0.679317055909413</v>
      </c>
      <c r="H139" s="18" t="n">
        <f aca="false">(C139-C139/(1+E139/100)+D139)/C139</f>
        <v>0.657768361581921</v>
      </c>
    </row>
    <row r="140" customFormat="false" ht="15" hidden="false" customHeight="false" outlineLevel="0" collapsed="false">
      <c r="A140" s="15" t="n">
        <v>44067</v>
      </c>
      <c r="B140" s="16" t="n">
        <v>113.22</v>
      </c>
      <c r="C140" s="16" t="n">
        <v>118.14</v>
      </c>
      <c r="D140" s="16" t="n">
        <v>57.95</v>
      </c>
      <c r="E140" s="10" t="n">
        <v>20</v>
      </c>
      <c r="F140" s="17" t="n">
        <f aca="false">C140-B140</f>
        <v>4.92</v>
      </c>
      <c r="G140" s="18" t="n">
        <f aca="false">(B140-B140/(1+E140/100)+D140)/B140</f>
        <v>0.678502031443208</v>
      </c>
      <c r="H140" s="18" t="n">
        <f aca="false">(C140-C140/(1+E140/100)+D140)/C140</f>
        <v>0.657186389029964</v>
      </c>
    </row>
    <row r="141" customFormat="false" ht="15" hidden="false" customHeight="false" outlineLevel="0" collapsed="false">
      <c r="A141" s="15" t="n">
        <v>44074</v>
      </c>
      <c r="B141" s="16" t="n">
        <v>113.29</v>
      </c>
      <c r="C141" s="16" t="n">
        <v>118.18</v>
      </c>
      <c r="D141" s="16" t="n">
        <v>57.95</v>
      </c>
      <c r="E141" s="10" t="n">
        <v>20</v>
      </c>
      <c r="F141" s="17" t="n">
        <f aca="false">C141-B141</f>
        <v>4.89</v>
      </c>
      <c r="G141" s="18" t="n">
        <f aca="false">(B141-B141/(1+E141/100)+D141)/B141</f>
        <v>0.678185776914703</v>
      </c>
      <c r="H141" s="18" t="n">
        <f aca="false">(C141-C141/(1+E141/100)+D141)/C141</f>
        <v>0.657020364415863</v>
      </c>
    </row>
    <row r="142" customFormat="false" ht="15" hidden="false" customHeight="false" outlineLevel="0" collapsed="false">
      <c r="A142" s="15" t="n">
        <v>44081</v>
      </c>
      <c r="B142" s="16" t="n">
        <v>113.37</v>
      </c>
      <c r="C142" s="16" t="n">
        <v>118.22</v>
      </c>
      <c r="D142" s="16" t="n">
        <v>57.95</v>
      </c>
      <c r="E142" s="10" t="n">
        <v>20</v>
      </c>
      <c r="F142" s="17" t="n">
        <f aca="false">C142-B142</f>
        <v>4.84999999999999</v>
      </c>
      <c r="G142" s="18" t="n">
        <f aca="false">(B142-B142/(1+E142/100)+D142)/B142</f>
        <v>0.677824821381318</v>
      </c>
      <c r="H142" s="18" t="n">
        <f aca="false">(C142-C142/(1+E142/100)+D142)/C142</f>
        <v>0.656854452151356</v>
      </c>
    </row>
    <row r="143" customFormat="false" ht="15" hidden="false" customHeight="false" outlineLevel="0" collapsed="false">
      <c r="A143" s="15" t="n">
        <v>44088</v>
      </c>
      <c r="B143" s="16" t="n">
        <v>113.32</v>
      </c>
      <c r="C143" s="16" t="n">
        <v>118.18</v>
      </c>
      <c r="D143" s="16" t="n">
        <v>57.95</v>
      </c>
      <c r="E143" s="10" t="n">
        <v>20</v>
      </c>
      <c r="F143" s="17" t="n">
        <f aca="false">C143-B143</f>
        <v>4.86000000000001</v>
      </c>
      <c r="G143" s="18" t="n">
        <f aca="false">(B143-B143/(1+E143/100)+D143)/B143</f>
        <v>0.678050358865749</v>
      </c>
      <c r="H143" s="18" t="n">
        <f aca="false">(C143-C143/(1+E143/100)+D143)/C143</f>
        <v>0.657020364415863</v>
      </c>
    </row>
    <row r="144" customFormat="false" ht="15" hidden="false" customHeight="false" outlineLevel="0" collapsed="false">
      <c r="A144" s="15" t="n">
        <v>44095</v>
      </c>
      <c r="B144" s="16" t="n">
        <v>113.31</v>
      </c>
      <c r="C144" s="16" t="n">
        <v>118.16</v>
      </c>
      <c r="D144" s="16" t="n">
        <v>57.95</v>
      </c>
      <c r="E144" s="10" t="n">
        <v>20</v>
      </c>
      <c r="F144" s="17" t="n">
        <f aca="false">C144-B144</f>
        <v>4.84999999999999</v>
      </c>
      <c r="G144" s="18" t="n">
        <f aca="false">(B144-B144/(1+E144/100)+D144)/B144</f>
        <v>0.678095490247992</v>
      </c>
      <c r="H144" s="18" t="n">
        <f aca="false">(C144-C144/(1+E144/100)+D144)/C144</f>
        <v>0.657103362672083</v>
      </c>
    </row>
    <row r="145" customFormat="false" ht="15" hidden="false" customHeight="false" outlineLevel="0" collapsed="false">
      <c r="A145" s="15" t="n">
        <v>44102</v>
      </c>
      <c r="B145" s="16" t="n">
        <v>113.3</v>
      </c>
      <c r="C145" s="16" t="n">
        <v>118.14</v>
      </c>
      <c r="D145" s="16" t="n">
        <v>57.95</v>
      </c>
      <c r="E145" s="10" t="n">
        <v>20</v>
      </c>
      <c r="F145" s="17" t="n">
        <f aca="false">C145-B145</f>
        <v>4.84</v>
      </c>
      <c r="G145" s="18" t="n">
        <f aca="false">(B145-B145/(1+E145/100)+D145)/B145</f>
        <v>0.67814062959694</v>
      </c>
      <c r="H145" s="18" t="n">
        <f aca="false">(C145-C145/(1+E145/100)+D145)/C145</f>
        <v>0.657186389029964</v>
      </c>
    </row>
    <row r="146" customFormat="false" ht="15" hidden="false" customHeight="false" outlineLevel="0" collapsed="false">
      <c r="A146" s="15" t="n">
        <v>44109</v>
      </c>
      <c r="B146" s="16" t="n">
        <v>113.26</v>
      </c>
      <c r="C146" s="16" t="n">
        <v>118.11</v>
      </c>
      <c r="D146" s="16" t="n">
        <v>57.95</v>
      </c>
      <c r="E146" s="10" t="n">
        <v>20</v>
      </c>
      <c r="F146" s="17" t="n">
        <f aca="false">C146-B146</f>
        <v>4.84999999999999</v>
      </c>
      <c r="G146" s="18" t="n">
        <f aca="false">(B146-B146/(1+E146/100)+D146)/B146</f>
        <v>0.678321266701984</v>
      </c>
      <c r="H146" s="18" t="n">
        <f aca="false">(C146-C146/(1+E146/100)+D146)/C146</f>
        <v>0.657310981288629</v>
      </c>
    </row>
    <row r="147" customFormat="false" ht="15" hidden="false" customHeight="false" outlineLevel="0" collapsed="false">
      <c r="A147" s="15" t="n">
        <v>44116</v>
      </c>
      <c r="B147" s="16" t="n">
        <v>113.19</v>
      </c>
      <c r="C147" s="16" t="n">
        <v>118.05</v>
      </c>
      <c r="D147" s="16" t="n">
        <v>57.95</v>
      </c>
      <c r="E147" s="10" t="n">
        <v>20</v>
      </c>
      <c r="F147" s="17" t="n">
        <f aca="false">C147-B147</f>
        <v>4.86</v>
      </c>
      <c r="G147" s="18" t="n">
        <f aca="false">(B147-B147/(1+E147/100)+D147)/B147</f>
        <v>0.67863768884177</v>
      </c>
      <c r="H147" s="18" t="n">
        <f aca="false">(C147-C147/(1+E147/100)+D147)/C147</f>
        <v>0.657560355781449</v>
      </c>
    </row>
    <row r="148" customFormat="false" ht="15" hidden="false" customHeight="false" outlineLevel="0" collapsed="false">
      <c r="A148" s="15" t="n">
        <v>44123</v>
      </c>
      <c r="B148" s="16" t="n">
        <v>113.18</v>
      </c>
      <c r="C148" s="16" t="n">
        <v>118.08</v>
      </c>
      <c r="D148" s="16" t="n">
        <v>57.95</v>
      </c>
      <c r="E148" s="10" t="n">
        <v>20</v>
      </c>
      <c r="F148" s="17" t="n">
        <f aca="false">C148-B148</f>
        <v>4.89999999999999</v>
      </c>
      <c r="G148" s="18" t="n">
        <f aca="false">(B148-B148/(1+E148/100)+D148)/B148</f>
        <v>0.67868292395594</v>
      </c>
      <c r="H148" s="18" t="n">
        <f aca="false">(C148-C148/(1+E148/100)+D148)/C148</f>
        <v>0.657435636856369</v>
      </c>
    </row>
    <row r="149" customFormat="false" ht="15" hidden="false" customHeight="false" outlineLevel="0" collapsed="false">
      <c r="A149" s="15" t="n">
        <v>44130</v>
      </c>
      <c r="B149" s="16" t="n">
        <v>113.14</v>
      </c>
      <c r="C149" s="16" t="n">
        <v>118.08</v>
      </c>
      <c r="D149" s="16" t="n">
        <v>57.95</v>
      </c>
      <c r="E149" s="10" t="n">
        <v>20</v>
      </c>
      <c r="F149" s="17" t="n">
        <f aca="false">C149-B149</f>
        <v>4.94</v>
      </c>
      <c r="G149" s="18" t="n">
        <f aca="false">(B149-B149/(1+E149/100)+D149)/B149</f>
        <v>0.6788639443757</v>
      </c>
      <c r="H149" s="18" t="n">
        <f aca="false">(C149-C149/(1+E149/100)+D149)/C149</f>
        <v>0.657435636856369</v>
      </c>
    </row>
    <row r="150" customFormat="false" ht="15" hidden="false" customHeight="false" outlineLevel="0" collapsed="false">
      <c r="A150" s="15" t="n">
        <v>44137</v>
      </c>
      <c r="B150" s="16" t="n">
        <v>113.11</v>
      </c>
      <c r="C150" s="16" t="n">
        <v>118.06</v>
      </c>
      <c r="D150" s="16" t="n">
        <v>57.95</v>
      </c>
      <c r="E150" s="10" t="n">
        <v>20</v>
      </c>
      <c r="F150" s="17" t="n">
        <f aca="false">C150-B150</f>
        <v>4.95</v>
      </c>
      <c r="G150" s="18" t="n">
        <f aca="false">(B150-B150/(1+E150/100)+D150)/B150</f>
        <v>0.678999793711137</v>
      </c>
      <c r="H150" s="18" t="n">
        <f aca="false">(C150-C150/(1+E150/100)+D150)/C150</f>
        <v>0.657518775763736</v>
      </c>
    </row>
    <row r="151" customFormat="false" ht="15" hidden="false" customHeight="false" outlineLevel="0" collapsed="false">
      <c r="A151" s="15" t="n">
        <v>44144</v>
      </c>
      <c r="B151" s="16" t="n">
        <v>112.5</v>
      </c>
      <c r="C151" s="16" t="n">
        <v>117.28</v>
      </c>
      <c r="D151" s="16" t="n">
        <v>57.95</v>
      </c>
      <c r="E151" s="10" t="n">
        <v>20</v>
      </c>
      <c r="F151" s="17" t="n">
        <f aca="false">C151-B151</f>
        <v>4.78</v>
      </c>
      <c r="G151" s="18" t="n">
        <f aca="false">(B151-B151/(1+E151/100)+D151)/B151</f>
        <v>0.681777777777778</v>
      </c>
      <c r="H151" s="18" t="n">
        <f aca="false">(C151-C151/(1+E151/100)+D151)/C151</f>
        <v>0.660783310595725</v>
      </c>
    </row>
    <row r="152" customFormat="false" ht="15" hidden="false" customHeight="false" outlineLevel="0" collapsed="false">
      <c r="A152" s="15" t="n">
        <v>44151</v>
      </c>
      <c r="B152" s="16" t="n">
        <v>112.35</v>
      </c>
      <c r="C152" s="16" t="n">
        <v>117.07</v>
      </c>
      <c r="D152" s="16" t="n">
        <v>57.95</v>
      </c>
      <c r="E152" s="10" t="n">
        <v>20</v>
      </c>
      <c r="F152" s="17" t="n">
        <f aca="false">C152-B152</f>
        <v>4.72</v>
      </c>
      <c r="G152" s="18" t="n">
        <f aca="false">(B152-B152/(1+E152/100)+D152)/B152</f>
        <v>0.682465509568313</v>
      </c>
      <c r="H152" s="18" t="n">
        <f aca="false">(C152-C152/(1+E152/100)+D152)/C152</f>
        <v>0.66166965633097</v>
      </c>
    </row>
    <row r="153" customFormat="false" ht="15" hidden="false" customHeight="false" outlineLevel="0" collapsed="false">
      <c r="A153" s="15" t="n">
        <v>44158</v>
      </c>
      <c r="B153" s="16" t="n">
        <v>112.42</v>
      </c>
      <c r="C153" s="16" t="n">
        <v>117.13</v>
      </c>
      <c r="D153" s="16" t="n">
        <v>57.95</v>
      </c>
      <c r="E153" s="10" t="n">
        <v>20</v>
      </c>
      <c r="F153" s="17" t="n">
        <f aca="false">C153-B153</f>
        <v>4.70999999999999</v>
      </c>
      <c r="G153" s="18" t="n">
        <f aca="false">(B153-B153/(1+E153/100)+D153)/B153</f>
        <v>0.682144339678586</v>
      </c>
      <c r="H153" s="18" t="n">
        <f aca="false">(C153-C153/(1+E153/100)+D153)/C153</f>
        <v>0.661416090383904</v>
      </c>
    </row>
    <row r="154" customFormat="false" ht="15" hidden="false" customHeight="false" outlineLevel="0" collapsed="false">
      <c r="A154" s="15" t="n">
        <v>44165</v>
      </c>
      <c r="B154" s="16" t="n">
        <v>112.61</v>
      </c>
      <c r="C154" s="16" t="n">
        <v>117.41</v>
      </c>
      <c r="D154" s="16" t="n">
        <v>57.95</v>
      </c>
      <c r="E154" s="10" t="n">
        <v>20</v>
      </c>
      <c r="F154" s="17" t="n">
        <f aca="false">C154-B154</f>
        <v>4.8</v>
      </c>
      <c r="G154" s="18" t="n">
        <f aca="false">(B154-B154/(1+E154/100)+D154)/B154</f>
        <v>0.681274605570849</v>
      </c>
      <c r="H154" s="18" t="n">
        <f aca="false">(C154-C154/(1+E154/100)+D154)/C154</f>
        <v>0.660236209295063</v>
      </c>
    </row>
    <row r="155" customFormat="false" ht="15" hidden="false" customHeight="false" outlineLevel="0" collapsed="false">
      <c r="A155" s="15" t="n">
        <v>44172</v>
      </c>
      <c r="B155" s="16" t="n">
        <v>113.17</v>
      </c>
      <c r="C155" s="16" t="n">
        <v>117.99</v>
      </c>
      <c r="D155" s="16" t="n">
        <v>57.95</v>
      </c>
      <c r="E155" s="10" t="n">
        <v>20</v>
      </c>
      <c r="F155" s="17" t="n">
        <f aca="false">C155-B155</f>
        <v>4.81999999999999</v>
      </c>
      <c r="G155" s="18" t="n">
        <f aca="false">(B155-B155/(1+E155/100)+D155)/B155</f>
        <v>0.678728167064299</v>
      </c>
      <c r="H155" s="18" t="n">
        <f aca="false">(C155-C155/(1+E155/100)+D155)/C155</f>
        <v>0.657809983896941</v>
      </c>
    </row>
    <row r="156" customFormat="false" ht="15" hidden="false" customHeight="false" outlineLevel="0" collapsed="false">
      <c r="A156" s="15" t="n">
        <v>44179</v>
      </c>
      <c r="B156" s="16" t="n">
        <v>113.82</v>
      </c>
      <c r="C156" s="16" t="n">
        <v>118.57</v>
      </c>
      <c r="D156" s="16" t="n">
        <v>57.95</v>
      </c>
      <c r="E156" s="10" t="n">
        <v>20</v>
      </c>
      <c r="F156" s="17" t="n">
        <f aca="false">C156-B156</f>
        <v>4.75</v>
      </c>
      <c r="G156" s="18" t="n">
        <f aca="false">(B156-B156/(1+E156/100)+D156)/B156</f>
        <v>0.675803900896152</v>
      </c>
      <c r="H156" s="18" t="n">
        <f aca="false">(C156-C156/(1+E156/100)+D156)/C156</f>
        <v>0.655407494869416</v>
      </c>
    </row>
    <row r="157" customFormat="false" ht="15" hidden="false" customHeight="false" outlineLevel="0" collapsed="false">
      <c r="A157" s="15" t="n">
        <v>44186</v>
      </c>
      <c r="B157" s="16" t="n">
        <v>114.43</v>
      </c>
      <c r="C157" s="16" t="n">
        <v>119.17</v>
      </c>
      <c r="D157" s="16" t="n">
        <v>57.95</v>
      </c>
      <c r="E157" s="10" t="n">
        <v>20</v>
      </c>
      <c r="F157" s="17" t="n">
        <f aca="false">C157-B157</f>
        <v>4.74</v>
      </c>
      <c r="G157" s="18" t="n">
        <f aca="false">(B157-B157/(1+E157/100)+D157)/B157</f>
        <v>0.673089807451426</v>
      </c>
      <c r="H157" s="18" t="n">
        <f aca="false">(C157-C157/(1+E157/100)+D157)/C157</f>
        <v>0.6529467707197</v>
      </c>
    </row>
    <row r="158" customFormat="false" ht="15" hidden="false" customHeight="false" outlineLevel="0" collapsed="false">
      <c r="A158" s="15" t="n">
        <v>44193</v>
      </c>
      <c r="B158" s="16" t="n">
        <v>114.91</v>
      </c>
      <c r="C158" s="16" t="n">
        <v>119.65</v>
      </c>
      <c r="D158" s="16" t="n">
        <v>57.95</v>
      </c>
      <c r="E158" s="10" t="n">
        <v>20</v>
      </c>
      <c r="F158" s="17" t="n">
        <f aca="false">C158-B158</f>
        <v>4.74000000000001</v>
      </c>
      <c r="G158" s="18" t="n">
        <f aca="false">(B158-B158/(1+E158/100)+D158)/B158</f>
        <v>0.670974385751168</v>
      </c>
      <c r="H158" s="18" t="n">
        <f aca="false">(C158-C158/(1+E158/100)+D158)/C158</f>
        <v>0.650995960440173</v>
      </c>
    </row>
    <row r="159" customFormat="false" ht="15" hidden="false" customHeight="false" outlineLevel="0" collapsed="false">
      <c r="A159" s="15" t="n">
        <v>44200</v>
      </c>
      <c r="B159" s="16" t="n">
        <v>115.39</v>
      </c>
      <c r="C159" s="16" t="n">
        <v>119.97</v>
      </c>
      <c r="D159" s="16" t="n">
        <v>57.95</v>
      </c>
      <c r="E159" s="10" t="n">
        <v>20</v>
      </c>
      <c r="F159" s="17" t="n">
        <f aca="false">C159-B159</f>
        <v>4.58</v>
      </c>
      <c r="G159" s="18" t="n">
        <f aca="false">(B159-B159/(1+E159/100)+D159)/B159</f>
        <v>0.668876563538146</v>
      </c>
      <c r="H159" s="18" t="n">
        <f aca="false">(C159-C159/(1+E159/100)+D159)/C159</f>
        <v>0.649704092689839</v>
      </c>
    </row>
    <row r="160" customFormat="false" ht="15" hidden="false" customHeight="false" outlineLevel="0" collapsed="false">
      <c r="A160" s="15" t="n">
        <v>44207</v>
      </c>
      <c r="B160" s="16" t="n">
        <v>116.14</v>
      </c>
      <c r="C160" s="16" t="n">
        <v>120.61</v>
      </c>
      <c r="D160" s="16" t="n">
        <v>57.95</v>
      </c>
      <c r="E160" s="10" t="n">
        <v>20</v>
      </c>
      <c r="F160" s="17" t="n">
        <f aca="false">C160-B160</f>
        <v>4.47</v>
      </c>
      <c r="G160" s="18" t="n">
        <f aca="false">(B160-B160/(1+E160/100)+D160)/B160</f>
        <v>0.66563343091671</v>
      </c>
      <c r="H160" s="18" t="n">
        <f aca="false">(C160-C160/(1+E160/100)+D160)/C160</f>
        <v>0.647140922532681</v>
      </c>
    </row>
    <row r="161" customFormat="false" ht="15" hidden="false" customHeight="false" outlineLevel="0" collapsed="false">
      <c r="A161" s="15" t="n">
        <v>44214</v>
      </c>
      <c r="B161" s="16" t="n">
        <v>116.93</v>
      </c>
      <c r="C161" s="16" t="n">
        <v>121.52</v>
      </c>
      <c r="D161" s="16" t="n">
        <v>57.95</v>
      </c>
      <c r="E161" s="10" t="n">
        <v>20</v>
      </c>
      <c r="F161" s="17" t="n">
        <f aca="false">C161-B161</f>
        <v>4.58999999999999</v>
      </c>
      <c r="G161" s="18" t="n">
        <f aca="false">(B161-B161/(1+E161/100)+D161)/B161</f>
        <v>0.662262322187064</v>
      </c>
      <c r="H161" s="18" t="n">
        <f aca="false">(C161-C161/(1+E161/100)+D161)/C161</f>
        <v>0.64354290103138</v>
      </c>
    </row>
    <row r="162" customFormat="false" ht="15" hidden="false" customHeight="false" outlineLevel="0" collapsed="false">
      <c r="A162" s="15" t="n">
        <v>44221</v>
      </c>
      <c r="B162" s="16" t="n">
        <v>118.1</v>
      </c>
      <c r="C162" s="16" t="n">
        <v>122.7</v>
      </c>
      <c r="D162" s="16" t="n">
        <v>57.95</v>
      </c>
      <c r="E162" s="10" t="n">
        <v>20</v>
      </c>
      <c r="F162" s="17" t="n">
        <f aca="false">C162-B162</f>
        <v>4.60000000000001</v>
      </c>
      <c r="G162" s="18" t="n">
        <f aca="false">(B162-B162/(1+E162/100)+D162)/B162</f>
        <v>0.657352526107818</v>
      </c>
      <c r="H162" s="18" t="n">
        <f aca="false">(C162-C162/(1+E162/100)+D162)/C162</f>
        <v>0.638956805215974</v>
      </c>
    </row>
    <row r="163" customFormat="false" ht="15" hidden="false" customHeight="false" outlineLevel="0" collapsed="false">
      <c r="A163" s="15" t="n">
        <v>44228</v>
      </c>
      <c r="B163" s="16" t="n">
        <v>119.14</v>
      </c>
      <c r="C163" s="16" t="n">
        <v>123.7</v>
      </c>
      <c r="D163" s="16" t="n">
        <v>57.95</v>
      </c>
      <c r="E163" s="10" t="n">
        <v>20</v>
      </c>
      <c r="F163" s="17" t="n">
        <f aca="false">C163-B163</f>
        <v>4.56</v>
      </c>
      <c r="G163" s="18" t="n">
        <f aca="false">(B163-B163/(1+E163/100)+D163)/B163</f>
        <v>0.65306921828661</v>
      </c>
      <c r="H163" s="18" t="n">
        <f aca="false">(C163-C163/(1+E163/100)+D163)/C163</f>
        <v>0.635138776610078</v>
      </c>
    </row>
    <row r="164" customFormat="false" ht="15" hidden="false" customHeight="false" outlineLevel="0" collapsed="false">
      <c r="A164" s="15" t="n">
        <v>44235</v>
      </c>
      <c r="B164" s="16" t="n">
        <v>119.67</v>
      </c>
      <c r="C164" s="16" t="n">
        <v>124.09</v>
      </c>
      <c r="D164" s="16" t="n">
        <v>57.95</v>
      </c>
      <c r="E164" s="10" t="n">
        <v>20</v>
      </c>
      <c r="F164" s="17" t="n">
        <f aca="false">C164-B164</f>
        <v>4.42</v>
      </c>
      <c r="G164" s="18" t="n">
        <f aca="false">(B164-B164/(1+E164/100)+D164)/B164</f>
        <v>0.650915016294811</v>
      </c>
      <c r="H164" s="18" t="n">
        <f aca="false">(C164-C164/(1+E164/100)+D164)/C164</f>
        <v>0.633666424906654</v>
      </c>
    </row>
    <row r="165" customFormat="false" ht="15" hidden="false" customHeight="false" outlineLevel="0" collapsed="false">
      <c r="A165" s="15" t="n">
        <v>44242</v>
      </c>
      <c r="B165" s="16" t="n">
        <v>120.53</v>
      </c>
      <c r="C165" s="16" t="n">
        <v>125.01</v>
      </c>
      <c r="D165" s="16" t="n">
        <v>57.95</v>
      </c>
      <c r="E165" s="10" t="n">
        <v>20</v>
      </c>
      <c r="F165" s="17" t="n">
        <f aca="false">C165-B165</f>
        <v>4.48</v>
      </c>
      <c r="G165" s="18" t="n">
        <f aca="false">(B165-B165/(1+E165/100)+D165)/B165</f>
        <v>0.647459830194419</v>
      </c>
      <c r="H165" s="18" t="n">
        <f aca="false">(C165-C165/(1+E165/100)+D165)/C165</f>
        <v>0.630229581633469</v>
      </c>
    </row>
    <row r="166" customFormat="false" ht="15" hidden="false" customHeight="false" outlineLevel="0" collapsed="false">
      <c r="A166" s="15" t="n">
        <v>44249</v>
      </c>
      <c r="B166" s="16" t="n">
        <v>121.27</v>
      </c>
      <c r="C166" s="16" t="n">
        <v>125.71</v>
      </c>
      <c r="D166" s="16" t="n">
        <v>57.95</v>
      </c>
      <c r="E166" s="10" t="n">
        <v>20</v>
      </c>
      <c r="F166" s="17" t="n">
        <f aca="false">C166-B166</f>
        <v>4.44</v>
      </c>
      <c r="G166" s="18" t="n">
        <f aca="false">(B166-B166/(1+E166/100)+D166)/B166</f>
        <v>0.644525988840329</v>
      </c>
      <c r="H166" s="18" t="n">
        <f aca="false">(C166-C166/(1+E166/100)+D166)/C166</f>
        <v>0.627648291040225</v>
      </c>
    </row>
    <row r="167" customFormat="false" ht="15" hidden="false" customHeight="false" outlineLevel="0" collapsed="false">
      <c r="A167" s="15" t="n">
        <v>44256</v>
      </c>
      <c r="B167" s="16" t="n">
        <v>122.17</v>
      </c>
      <c r="C167" s="16" t="n">
        <v>126.62</v>
      </c>
      <c r="D167" s="16" t="n">
        <v>57.95</v>
      </c>
      <c r="E167" s="10" t="n">
        <v>20</v>
      </c>
      <c r="F167" s="17" t="n">
        <f aca="false">C167-B167</f>
        <v>4.45</v>
      </c>
      <c r="G167" s="18" t="n">
        <f aca="false">(B167-B167/(1+E167/100)+D167)/B167</f>
        <v>0.641005702436496</v>
      </c>
      <c r="H167" s="18" t="n">
        <f aca="false">(C167-C167/(1+E167/100)+D167)/C167</f>
        <v>0.62433528141947</v>
      </c>
    </row>
    <row r="168" customFormat="false" ht="15" hidden="false" customHeight="false" outlineLevel="0" collapsed="false">
      <c r="A168" s="15" t="n">
        <v>44263</v>
      </c>
      <c r="B168" s="16" t="n">
        <v>122.94</v>
      </c>
      <c r="C168" s="16" t="n">
        <v>127.4</v>
      </c>
      <c r="D168" s="16" t="n">
        <v>57.95</v>
      </c>
      <c r="E168" s="10" t="n">
        <v>20</v>
      </c>
      <c r="F168" s="17" t="n">
        <f aca="false">C168-B168</f>
        <v>4.46000000000001</v>
      </c>
      <c r="G168" s="18" t="n">
        <f aca="false">(B168-B168/(1+E168/100)+D168)/B168</f>
        <v>0.638034813730275</v>
      </c>
      <c r="H168" s="18" t="n">
        <f aca="false">(C168-C168/(1+E168/100)+D168)/C168</f>
        <v>0.621533228676086</v>
      </c>
    </row>
    <row r="169" customFormat="false" ht="15" hidden="false" customHeight="false" outlineLevel="0" collapsed="false">
      <c r="A169" s="15" t="n">
        <v>44270</v>
      </c>
      <c r="B169" s="16" t="n">
        <v>123.9</v>
      </c>
      <c r="C169" s="16" t="n">
        <v>128.24</v>
      </c>
      <c r="D169" s="16" t="n">
        <v>57.95</v>
      </c>
      <c r="E169" s="10" t="n">
        <v>20</v>
      </c>
      <c r="F169" s="17" t="n">
        <f aca="false">C169-B169</f>
        <v>4.34</v>
      </c>
      <c r="G169" s="18" t="n">
        <f aca="false">(B169-B169/(1+E169/100)+D169)/B169</f>
        <v>0.634382566585956</v>
      </c>
      <c r="H169" s="18" t="n">
        <f aca="false">(C169-C169/(1+E169/100)+D169)/C169</f>
        <v>0.618553753379081</v>
      </c>
    </row>
    <row r="170" customFormat="false" ht="15" hidden="false" customHeight="false" outlineLevel="0" collapsed="false">
      <c r="A170" s="15" t="n">
        <v>44277</v>
      </c>
      <c r="B170" s="16" t="n">
        <v>124.57</v>
      </c>
      <c r="C170" s="16" t="n">
        <v>129.02</v>
      </c>
      <c r="D170" s="16" t="n">
        <v>57.95</v>
      </c>
      <c r="E170" s="10" t="n">
        <v>20</v>
      </c>
      <c r="F170" s="17" t="n">
        <f aca="false">C170-B170</f>
        <v>4.45000000000002</v>
      </c>
      <c r="G170" s="18" t="n">
        <f aca="false">(B170-B170/(1+E170/100)+D170)/B170</f>
        <v>0.631866955660807</v>
      </c>
      <c r="H170" s="18" t="n">
        <f aca="false">(C170-C170/(1+E170/100)+D170)/C170</f>
        <v>0.615821836407792</v>
      </c>
    </row>
    <row r="171" customFormat="false" ht="15" hidden="false" customHeight="false" outlineLevel="0" collapsed="false">
      <c r="A171" s="15" t="n">
        <v>44284</v>
      </c>
      <c r="B171" s="16" t="n">
        <v>125.13</v>
      </c>
      <c r="C171" s="16" t="n">
        <v>129.32</v>
      </c>
      <c r="D171" s="16" t="n">
        <v>57.95</v>
      </c>
      <c r="E171" s="10" t="n">
        <v>20</v>
      </c>
      <c r="F171" s="17" t="n">
        <f aca="false">C171-B171</f>
        <v>4.19</v>
      </c>
      <c r="G171" s="18" t="n">
        <f aca="false">(B171-B171/(1+E171/100)+D171)/B171</f>
        <v>0.629785023575482</v>
      </c>
      <c r="H171" s="18" t="n">
        <f aca="false">(C171-C171/(1+E171/100)+D171)/C171</f>
        <v>0.614779874213837</v>
      </c>
    </row>
    <row r="172" customFormat="false" ht="15" hidden="false" customHeight="false" outlineLevel="0" collapsed="false">
      <c r="A172" s="15" t="n">
        <v>44291</v>
      </c>
      <c r="B172" s="16" t="n">
        <v>125.24</v>
      </c>
      <c r="C172" s="16" t="n">
        <v>129.35</v>
      </c>
      <c r="D172" s="16" t="n">
        <v>57.95</v>
      </c>
      <c r="E172" s="10" t="n">
        <v>20</v>
      </c>
      <c r="F172" s="17" t="n">
        <f aca="false">C172-B172</f>
        <v>4.11</v>
      </c>
      <c r="G172" s="18" t="n">
        <f aca="false">(B172-B172/(1+E172/100)+D172)/B172</f>
        <v>0.629378260406686</v>
      </c>
      <c r="H172" s="18" t="n">
        <f aca="false">(C172-C172/(1+E172/100)+D172)/C172</f>
        <v>0.614675943821673</v>
      </c>
    </row>
    <row r="173" customFormat="false" ht="15" hidden="false" customHeight="false" outlineLevel="0" collapsed="false">
      <c r="A173" s="15" t="n">
        <v>44298</v>
      </c>
      <c r="B173" s="16" t="n">
        <v>125.4</v>
      </c>
      <c r="C173" s="16" t="n">
        <v>129.39</v>
      </c>
      <c r="D173" s="16" t="n">
        <v>57.95</v>
      </c>
      <c r="E173" s="10" t="n">
        <v>20</v>
      </c>
      <c r="F173" s="17" t="n">
        <f aca="false">C173-B173</f>
        <v>3.98999999999998</v>
      </c>
      <c r="G173" s="18" t="n">
        <f aca="false">(B173-B173/(1+E173/100)+D173)/B173</f>
        <v>0.628787878787879</v>
      </c>
      <c r="H173" s="18" t="n">
        <f aca="false">(C173-C173/(1+E173/100)+D173)/C173</f>
        <v>0.614537444933921</v>
      </c>
    </row>
    <row r="174" customFormat="false" ht="15" hidden="false" customHeight="false" outlineLevel="0" collapsed="false">
      <c r="A174" s="15" t="n">
        <v>44305</v>
      </c>
      <c r="B174" s="16" t="n">
        <v>125.48</v>
      </c>
      <c r="C174" s="16" t="n">
        <v>129.49</v>
      </c>
      <c r="D174" s="16" t="n">
        <v>57.95</v>
      </c>
      <c r="E174" s="10" t="n">
        <v>20</v>
      </c>
      <c r="F174" s="17" t="n">
        <f aca="false">C174-B174</f>
        <v>4.01000000000001</v>
      </c>
      <c r="G174" s="18" t="n">
        <f aca="false">(B174-B174/(1+E174/100)+D174)/B174</f>
        <v>0.628493252576772</v>
      </c>
      <c r="H174" s="18" t="n">
        <f aca="false">(C174-C174/(1+E174/100)+D174)/C174</f>
        <v>0.614191572064767</v>
      </c>
    </row>
    <row r="175" customFormat="false" ht="15" hidden="false" customHeight="false" outlineLevel="0" collapsed="false">
      <c r="A175" s="15" t="n">
        <v>44312</v>
      </c>
      <c r="B175" s="16" t="n">
        <v>125.8</v>
      </c>
      <c r="C175" s="16" t="n">
        <v>129.77</v>
      </c>
      <c r="D175" s="16" t="n">
        <v>57.95</v>
      </c>
      <c r="E175" s="10" t="n">
        <v>20</v>
      </c>
      <c r="F175" s="17" t="n">
        <f aca="false">C175-B175</f>
        <v>3.97000000000001</v>
      </c>
      <c r="G175" s="18" t="n">
        <f aca="false">(B175-B175/(1+E175/100)+D175)/B175</f>
        <v>0.627318494965554</v>
      </c>
      <c r="H175" s="18" t="n">
        <f aca="false">(C175-C175/(1+E175/100)+D175)/C175</f>
        <v>0.613225963884822</v>
      </c>
    </row>
    <row r="176" customFormat="false" ht="15" hidden="false" customHeight="false" outlineLevel="0" collapsed="false">
      <c r="A176" s="15" t="n">
        <v>44319</v>
      </c>
      <c r="B176" s="16" t="n">
        <v>126.09</v>
      </c>
      <c r="C176" s="16" t="n">
        <v>130</v>
      </c>
      <c r="D176" s="16" t="n">
        <v>57.95</v>
      </c>
      <c r="E176" s="10" t="n">
        <v>20</v>
      </c>
      <c r="F176" s="17" t="n">
        <f aca="false">C176-B176</f>
        <v>3.91</v>
      </c>
      <c r="G176" s="18" t="n">
        <f aca="false">(B176-B176/(1+E176/100)+D176)/B176</f>
        <v>0.626259021333968</v>
      </c>
      <c r="H176" s="18" t="n">
        <f aca="false">(C176-C176/(1+E176/100)+D176)/C176</f>
        <v>0.612435897435897</v>
      </c>
    </row>
    <row r="177" customFormat="false" ht="15" hidden="false" customHeight="false" outlineLevel="0" collapsed="false">
      <c r="A177" s="15" t="n">
        <v>44326</v>
      </c>
      <c r="B177" s="16" t="n">
        <v>126.53</v>
      </c>
      <c r="C177" s="16" t="n">
        <v>130.43</v>
      </c>
      <c r="D177" s="16" t="n">
        <v>57.95</v>
      </c>
      <c r="E177" s="10" t="n">
        <v>20</v>
      </c>
      <c r="F177" s="17" t="n">
        <f aca="false">C177-B177</f>
        <v>3.90000000000001</v>
      </c>
      <c r="G177" s="18" t="n">
        <f aca="false">(B177-B177/(1+E177/100)+D177)/B177</f>
        <v>0.624660818251271</v>
      </c>
      <c r="H177" s="18" t="n">
        <f aca="false">(C177-C177/(1+E177/100)+D177)/C177</f>
        <v>0.610966290986225</v>
      </c>
    </row>
    <row r="178" customFormat="false" ht="15" hidden="false" customHeight="false" outlineLevel="0" collapsed="false">
      <c r="A178" s="15" t="n">
        <v>44333</v>
      </c>
      <c r="B178" s="16" t="n">
        <v>127.19</v>
      </c>
      <c r="C178" s="16" t="n">
        <v>131.03</v>
      </c>
      <c r="D178" s="16" t="n">
        <v>57.95</v>
      </c>
      <c r="E178" s="10" t="n">
        <v>20</v>
      </c>
      <c r="F178" s="17" t="n">
        <f aca="false">C178-B178</f>
        <v>3.84</v>
      </c>
      <c r="G178" s="18" t="n">
        <f aca="false">(B178-B178/(1+E178/100)+D178)/B178</f>
        <v>0.622284246665094</v>
      </c>
      <c r="H178" s="18" t="n">
        <f aca="false">(C178-C178/(1+E178/100)+D178)/C178</f>
        <v>0.608931796789539</v>
      </c>
    </row>
    <row r="179" customFormat="false" ht="15" hidden="false" customHeight="false" outlineLevel="0" collapsed="false">
      <c r="A179" s="15" t="n">
        <v>44340</v>
      </c>
      <c r="B179" s="16" t="n">
        <v>127.89</v>
      </c>
      <c r="C179" s="16" t="n">
        <v>131.52</v>
      </c>
      <c r="D179" s="16" t="n">
        <v>57.95</v>
      </c>
      <c r="E179" s="10" t="n">
        <v>20</v>
      </c>
      <c r="F179" s="17" t="n">
        <f aca="false">C179-B179</f>
        <v>3.63000000000001</v>
      </c>
      <c r="G179" s="18" t="n">
        <f aca="false">(B179-B179/(1+E179/100)+D179)/B179</f>
        <v>0.619790444913598</v>
      </c>
      <c r="H179" s="18" t="n">
        <f aca="false">(C179-C179/(1+E179/100)+D179)/C179</f>
        <v>0.607284063260341</v>
      </c>
    </row>
    <row r="180" customFormat="false" ht="15" hidden="false" customHeight="false" outlineLevel="0" collapsed="false">
      <c r="A180" s="15" t="n">
        <v>44347</v>
      </c>
      <c r="B180" s="16" t="n">
        <v>128.15</v>
      </c>
      <c r="C180" s="16" t="n">
        <v>131.82</v>
      </c>
      <c r="D180" s="16" t="n">
        <v>57.95</v>
      </c>
      <c r="E180" s="10" t="n">
        <v>20</v>
      </c>
      <c r="F180" s="17" t="n">
        <f aca="false">C180-B180</f>
        <v>3.66999999999999</v>
      </c>
      <c r="G180" s="18" t="n">
        <f aca="false">(B180-B180/(1+E180/100)+D180)/B180</f>
        <v>0.618871114579269</v>
      </c>
      <c r="H180" s="18" t="n">
        <f aca="false">(C180-C180/(1+E180/100)+D180)/C180</f>
        <v>0.606281292671825</v>
      </c>
    </row>
    <row r="181" customFormat="false" ht="15" hidden="false" customHeight="false" outlineLevel="0" collapsed="false">
      <c r="A181" s="15" t="n">
        <v>44354</v>
      </c>
      <c r="B181" s="16" t="n">
        <v>128.69</v>
      </c>
      <c r="C181" s="16" t="n">
        <v>132.38</v>
      </c>
      <c r="D181" s="16" t="n">
        <v>57.95</v>
      </c>
      <c r="E181" s="10" t="n">
        <v>20</v>
      </c>
      <c r="F181" s="17" t="n">
        <f aca="false">C181-B181</f>
        <v>3.69</v>
      </c>
      <c r="G181" s="18" t="n">
        <f aca="false">(B181-B181/(1+E181/100)+D181)/B181</f>
        <v>0.616973605822778</v>
      </c>
      <c r="H181" s="18" t="n">
        <f aca="false">(C181-C181/(1+E181/100)+D181)/C181</f>
        <v>0.60442161454399</v>
      </c>
    </row>
    <row r="182" customFormat="false" ht="15" hidden="false" customHeight="false" outlineLevel="0" collapsed="false">
      <c r="A182" s="15" t="n">
        <v>44361</v>
      </c>
      <c r="B182" s="16" t="n">
        <v>129.47</v>
      </c>
      <c r="C182" s="16" t="n">
        <v>133.17</v>
      </c>
      <c r="D182" s="16" t="n">
        <v>57.95</v>
      </c>
      <c r="E182" s="10" t="n">
        <v>20</v>
      </c>
      <c r="F182" s="17" t="n">
        <f aca="false">C182-B182</f>
        <v>3.69999999999999</v>
      </c>
      <c r="G182" s="18" t="n">
        <f aca="false">(B182-B182/(1+E182/100)+D182)/B182</f>
        <v>0.614260703895368</v>
      </c>
      <c r="H182" s="18" t="n">
        <f aca="false">(C182-C182/(1+E182/100)+D182)/C182</f>
        <v>0.601824735300743</v>
      </c>
    </row>
    <row r="183" customFormat="false" ht="15" hidden="false" customHeight="false" outlineLevel="0" collapsed="false">
      <c r="A183" s="15" t="n">
        <v>44368</v>
      </c>
      <c r="B183" s="16" t="n">
        <v>130.1</v>
      </c>
      <c r="C183" s="16" t="n">
        <v>133.69</v>
      </c>
      <c r="D183" s="16" t="n">
        <v>57.95</v>
      </c>
      <c r="E183" s="10" t="n">
        <v>20</v>
      </c>
      <c r="F183" s="17" t="n">
        <f aca="false">C183-B183</f>
        <v>3.59</v>
      </c>
      <c r="G183" s="18" t="n">
        <f aca="false">(B183-B183/(1+E183/100)+D183)/B183</f>
        <v>0.612093261593646</v>
      </c>
      <c r="H183" s="18" t="n">
        <f aca="false">(C183-C183/(1+E183/100)+D183)/C183</f>
        <v>0.600132146508091</v>
      </c>
    </row>
    <row r="184" customFormat="false" ht="15" hidden="false" customHeight="false" outlineLevel="0" collapsed="false">
      <c r="A184" s="15" t="n">
        <v>44375</v>
      </c>
      <c r="B184" s="16" t="n">
        <v>130.73</v>
      </c>
      <c r="C184" s="16" t="n">
        <v>134.27</v>
      </c>
      <c r="D184" s="16" t="n">
        <v>57.95</v>
      </c>
      <c r="E184" s="10" t="n">
        <v>20</v>
      </c>
      <c r="F184" s="17" t="n">
        <f aca="false">C184-B184</f>
        <v>3.54000000000002</v>
      </c>
      <c r="G184" s="18" t="n">
        <f aca="false">(B184-B184/(1+E184/100)+D184)/B184</f>
        <v>0.609946709503047</v>
      </c>
      <c r="H184" s="18" t="n">
        <f aca="false">(C184-C184/(1+E184/100)+D184)/C184</f>
        <v>0.598259725428862</v>
      </c>
    </row>
    <row r="185" customFormat="false" ht="15" hidden="false" customHeight="false" outlineLevel="0" collapsed="false">
      <c r="A185" s="15" t="n">
        <v>44382</v>
      </c>
      <c r="B185" s="16" t="n">
        <v>131.7</v>
      </c>
      <c r="C185" s="16" t="n">
        <v>134.13</v>
      </c>
      <c r="D185" s="16" t="n">
        <v>57.95</v>
      </c>
      <c r="E185" s="10" t="n">
        <v>20</v>
      </c>
      <c r="F185" s="17" t="n">
        <f aca="false">C185-B185</f>
        <v>2.43000000000001</v>
      </c>
      <c r="G185" s="18" t="n">
        <f aca="false">(B185-B185/(1+E185/100)+D185)/B185</f>
        <v>0.60668185269552</v>
      </c>
      <c r="H185" s="18" t="n">
        <f aca="false">(C185-C185/(1+E185/100)+D185)/C185</f>
        <v>0.598710206516066</v>
      </c>
    </row>
    <row r="186" customFormat="false" ht="15" hidden="false" customHeight="false" outlineLevel="0" collapsed="false">
      <c r="A186" s="15" t="n">
        <v>44389</v>
      </c>
      <c r="B186" s="16" t="n">
        <v>132.47</v>
      </c>
      <c r="C186" s="16" t="n">
        <v>135.29</v>
      </c>
      <c r="D186" s="16" t="n">
        <v>57.95</v>
      </c>
      <c r="E186" s="10" t="n">
        <v>20</v>
      </c>
      <c r="F186" s="17" t="n">
        <f aca="false">C186-B186</f>
        <v>2.81999999999999</v>
      </c>
      <c r="G186" s="18" t="n">
        <f aca="false">(B186-B186/(1+E186/100)+D186)/B186</f>
        <v>0.60412420422234</v>
      </c>
      <c r="H186" s="18" t="n">
        <f aca="false">(C186-C186/(1+E186/100)+D186)/C186</f>
        <v>0.595005790031291</v>
      </c>
    </row>
    <row r="187" customFormat="false" ht="15" hidden="false" customHeight="false" outlineLevel="0" collapsed="false">
      <c r="A187" s="15" t="n">
        <v>44396</v>
      </c>
      <c r="B187" s="16" t="n">
        <v>133.2</v>
      </c>
      <c r="C187" s="16" t="n">
        <v>135.95</v>
      </c>
      <c r="D187" s="16" t="n">
        <v>57.95</v>
      </c>
      <c r="E187" s="10" t="n">
        <v>20</v>
      </c>
      <c r="F187" s="17" t="n">
        <f aca="false">C187-B187</f>
        <v>2.75</v>
      </c>
      <c r="G187" s="18" t="n">
        <f aca="false">(B187-B187/(1+E187/100)+D187)/B187</f>
        <v>0.601726726726727</v>
      </c>
      <c r="H187" s="18" t="n">
        <f aca="false">(C187-C187/(1+E187/100)+D187)/C187</f>
        <v>0.59292632095133</v>
      </c>
    </row>
    <row r="188" customFormat="false" ht="15" hidden="false" customHeight="false" outlineLevel="0" collapsed="false">
      <c r="A188" s="15" t="n">
        <v>44403</v>
      </c>
      <c r="B188" s="16" t="n">
        <v>133.48</v>
      </c>
      <c r="C188" s="16" t="n">
        <v>136.2</v>
      </c>
      <c r="D188" s="16" t="n">
        <v>57.95</v>
      </c>
      <c r="E188" s="10" t="n">
        <v>20</v>
      </c>
      <c r="F188" s="17" t="n">
        <f aca="false">C188-B188</f>
        <v>2.72</v>
      </c>
      <c r="G188" s="18" t="n">
        <f aca="false">(B188-B188/(1+E188/100)+D188)/B188</f>
        <v>0.600814104485066</v>
      </c>
      <c r="H188" s="18" t="n">
        <f aca="false">(C188-C188/(1+E188/100)+D188)/C188</f>
        <v>0.592143906020558</v>
      </c>
    </row>
    <row r="189" customFormat="false" ht="15" hidden="false" customHeight="false" outlineLevel="0" collapsed="false">
      <c r="A189" s="15" t="n">
        <v>44410</v>
      </c>
      <c r="B189" s="16" t="n">
        <v>134.21</v>
      </c>
      <c r="C189" s="16" t="n">
        <v>136.89</v>
      </c>
      <c r="D189" s="16" t="n">
        <v>57.95</v>
      </c>
      <c r="E189" s="10" t="n">
        <v>20</v>
      </c>
      <c r="F189" s="17" t="n">
        <f aca="false">C189-B189</f>
        <v>2.67999999999998</v>
      </c>
      <c r="G189" s="18" t="n">
        <f aca="false">(B189-B189/(1+E189/100)+D189)/B189</f>
        <v>0.598452673670616</v>
      </c>
      <c r="H189" s="18" t="n">
        <f aca="false">(C189-C189/(1+E189/100)+D189)/C189</f>
        <v>0.589999269486449</v>
      </c>
    </row>
    <row r="190" customFormat="false" ht="15" hidden="false" customHeight="false" outlineLevel="0" collapsed="false">
      <c r="A190" s="15" t="n">
        <v>44417</v>
      </c>
      <c r="B190" s="16" t="n">
        <v>134.7</v>
      </c>
      <c r="C190" s="16" t="n">
        <v>137.31</v>
      </c>
      <c r="D190" s="16" t="n">
        <v>57.95</v>
      </c>
      <c r="E190" s="10" t="n">
        <v>20</v>
      </c>
      <c r="F190" s="17" t="n">
        <f aca="false">C190-B190</f>
        <v>2.61000000000001</v>
      </c>
      <c r="G190" s="18" t="n">
        <f aca="false">(B190-B190/(1+E190/100)+D190)/B190</f>
        <v>0.596881959910913</v>
      </c>
      <c r="H190" s="18" t="n">
        <f aca="false">(C190-C190/(1+E190/100)+D190)/C190</f>
        <v>0.588704391522832</v>
      </c>
    </row>
    <row r="191" customFormat="false" ht="15" hidden="false" customHeight="false" outlineLevel="0" collapsed="false">
      <c r="A191" s="15" t="n">
        <v>44424</v>
      </c>
      <c r="B191" s="16" t="n">
        <v>134.77</v>
      </c>
      <c r="C191" s="16" t="n">
        <v>136.77</v>
      </c>
      <c r="D191" s="16" t="n">
        <v>57.95</v>
      </c>
      <c r="E191" s="10" t="n">
        <v>20</v>
      </c>
      <c r="F191" s="17" t="n">
        <f aca="false">C191-B191</f>
        <v>2</v>
      </c>
      <c r="G191" s="18" t="n">
        <f aca="false">(B191-B191/(1+E191/100)+D191)/B191</f>
        <v>0.596658504612797</v>
      </c>
      <c r="H191" s="18" t="n">
        <f aca="false">(C191-C191/(1+E191/100)+D191)/C191</f>
        <v>0.590370695327923</v>
      </c>
    </row>
    <row r="192" customFormat="false" ht="15" hidden="false" customHeight="false" outlineLevel="0" collapsed="false">
      <c r="A192" s="15" t="n">
        <v>44431</v>
      </c>
      <c r="B192" s="16" t="n">
        <v>134.68</v>
      </c>
      <c r="C192" s="16" t="n">
        <v>137.15</v>
      </c>
      <c r="D192" s="16" t="n">
        <v>57.95</v>
      </c>
      <c r="E192" s="10" t="n">
        <v>20</v>
      </c>
      <c r="F192" s="17" t="n">
        <f aca="false">C192-B192</f>
        <v>2.47</v>
      </c>
      <c r="G192" s="18" t="n">
        <f aca="false">(B192-B192/(1+E192/100)+D192)/B192</f>
        <v>0.596945846945847</v>
      </c>
      <c r="H192" s="18" t="n">
        <f aca="false">(C192-C192/(1+E192/100)+D192)/C192</f>
        <v>0.589196743225179</v>
      </c>
    </row>
    <row r="193" customFormat="false" ht="15" hidden="false" customHeight="false" outlineLevel="0" collapsed="false">
      <c r="A193" s="15" t="n">
        <v>44438</v>
      </c>
      <c r="B193" s="16" t="n">
        <v>134.66</v>
      </c>
      <c r="C193" s="16" t="n">
        <v>137.11</v>
      </c>
      <c r="D193" s="16" t="n">
        <v>57.95</v>
      </c>
      <c r="E193" s="10" t="n">
        <v>20</v>
      </c>
      <c r="F193" s="17" t="n">
        <f aca="false">C193-B193</f>
        <v>2.45000000000002</v>
      </c>
      <c r="G193" s="18" t="n">
        <f aca="false">(B193-B193/(1+E193/100)+D193)/B193</f>
        <v>0.597009752958067</v>
      </c>
      <c r="H193" s="18" t="n">
        <f aca="false">(C193-C193/(1+E193/100)+D193)/C193</f>
        <v>0.589320010697007</v>
      </c>
    </row>
    <row r="194" customFormat="false" ht="15" hidden="false" customHeight="false" outlineLevel="0" collapsed="false">
      <c r="A194" s="15" t="n">
        <v>44445</v>
      </c>
      <c r="B194" s="16" t="n">
        <v>134.76</v>
      </c>
      <c r="C194" s="16" t="n">
        <v>137.19</v>
      </c>
      <c r="D194" s="16" t="n">
        <v>57.95</v>
      </c>
      <c r="E194" s="10" t="n">
        <v>20</v>
      </c>
      <c r="F194" s="17" t="n">
        <f aca="false">C194-B194</f>
        <v>2.43000000000001</v>
      </c>
      <c r="G194" s="18" t="n">
        <f aca="false">(B194-B194/(1+E194/100)+D194)/B194</f>
        <v>0.596690412585337</v>
      </c>
      <c r="H194" s="18" t="n">
        <f aca="false">(C194-C194/(1+E194/100)+D194)/C194</f>
        <v>0.589073547634667</v>
      </c>
    </row>
    <row r="195" customFormat="false" ht="15" hidden="false" customHeight="false" outlineLevel="0" collapsed="false">
      <c r="A195" s="15" t="n">
        <v>44452</v>
      </c>
      <c r="B195" s="16" t="n">
        <v>134.75</v>
      </c>
      <c r="C195" s="16" t="n">
        <v>137.19</v>
      </c>
      <c r="D195" s="16" t="n">
        <v>57.95</v>
      </c>
      <c r="E195" s="10" t="n">
        <v>20</v>
      </c>
      <c r="F195" s="17" t="n">
        <f aca="false">C195-B195</f>
        <v>2.44</v>
      </c>
      <c r="G195" s="18" t="n">
        <f aca="false">(B195-B195/(1+E195/100)+D195)/B195</f>
        <v>0.596722325293754</v>
      </c>
      <c r="H195" s="18" t="n">
        <f aca="false">(C195-C195/(1+E195/100)+D195)/C195</f>
        <v>0.589073547634667</v>
      </c>
    </row>
    <row r="196" customFormat="false" ht="15" hidden="false" customHeight="false" outlineLevel="0" collapsed="false">
      <c r="A196" s="15" t="n">
        <v>44459</v>
      </c>
      <c r="B196" s="16" t="n">
        <v>134.86</v>
      </c>
      <c r="C196" s="16" t="n">
        <v>137.35</v>
      </c>
      <c r="D196" s="16" t="n">
        <v>57.95</v>
      </c>
      <c r="E196" s="10" t="n">
        <v>20</v>
      </c>
      <c r="F196" s="17" t="n">
        <f aca="false">C196-B196</f>
        <v>2.48999999999998</v>
      </c>
      <c r="G196" s="18" t="n">
        <f aca="false">(B196-B196/(1+E196/100)+D196)/B196</f>
        <v>0.596371545800583</v>
      </c>
      <c r="H196" s="18" t="n">
        <f aca="false">(C196-C196/(1+E196/100)+D196)/C196</f>
        <v>0.588581482829754</v>
      </c>
    </row>
    <row r="197" customFormat="false" ht="15" hidden="false" customHeight="false" outlineLevel="0" collapsed="false">
      <c r="A197" s="15" t="n">
        <v>44466</v>
      </c>
      <c r="B197" s="16" t="n">
        <v>135.19</v>
      </c>
      <c r="C197" s="16" t="n">
        <v>137.95</v>
      </c>
      <c r="D197" s="16" t="n">
        <v>57.95</v>
      </c>
      <c r="E197" s="10" t="n">
        <v>20</v>
      </c>
      <c r="F197" s="17" t="n">
        <f aca="false">C197-B197</f>
        <v>2.75999999999999</v>
      </c>
      <c r="G197" s="18" t="n">
        <f aca="false">(B197-B197/(1+E197/100)+D197)/B197</f>
        <v>0.595322632344602</v>
      </c>
      <c r="H197" s="18" t="n">
        <f aca="false">(C197-C197/(1+E197/100)+D197)/C197</f>
        <v>0.586746405702549</v>
      </c>
    </row>
    <row r="198" customFormat="false" ht="15" hidden="false" customHeight="false" outlineLevel="0" collapsed="false">
      <c r="A198" s="15" t="n">
        <v>44473</v>
      </c>
      <c r="B198" s="16" t="n">
        <v>136.1</v>
      </c>
      <c r="C198" s="16" t="n">
        <v>139.2</v>
      </c>
      <c r="D198" s="16" t="n">
        <v>57.95</v>
      </c>
      <c r="E198" s="10" t="n">
        <v>20</v>
      </c>
      <c r="F198" s="17" t="n">
        <f aca="false">C198-B198</f>
        <v>3.09999999999999</v>
      </c>
      <c r="G198" s="18" t="n">
        <f aca="false">(B198-B198/(1+E198/100)+D198)/B198</f>
        <v>0.592456527063434</v>
      </c>
      <c r="H198" s="18" t="n">
        <f aca="false">(C198-C198/(1+E198/100)+D198)/C198</f>
        <v>0.582974137931035</v>
      </c>
    </row>
    <row r="199" customFormat="false" ht="15" hidden="false" customHeight="false" outlineLevel="0" collapsed="false">
      <c r="A199" s="15" t="n">
        <v>44480</v>
      </c>
      <c r="B199" s="16" t="n">
        <v>137.17</v>
      </c>
      <c r="C199" s="16" t="n">
        <v>140.66</v>
      </c>
      <c r="D199" s="16" t="n">
        <v>57.95</v>
      </c>
      <c r="E199" s="10" t="n">
        <v>20</v>
      </c>
      <c r="F199" s="17" t="n">
        <f aca="false">C199-B199</f>
        <v>3.49000000000001</v>
      </c>
      <c r="G199" s="18" t="n">
        <f aca="false">(B199-B199/(1+E199/100)+D199)/B199</f>
        <v>0.589135136448689</v>
      </c>
      <c r="H199" s="18" t="n">
        <f aca="false">(C199-C199/(1+E199/100)+D199)/C199</f>
        <v>0.578653016730651</v>
      </c>
    </row>
    <row r="200" customFormat="false" ht="15" hidden="false" customHeight="false" outlineLevel="0" collapsed="false">
      <c r="A200" s="15" t="n">
        <v>44487</v>
      </c>
      <c r="B200" s="16" t="n">
        <v>139.46</v>
      </c>
      <c r="C200" s="16" t="n">
        <v>143.19</v>
      </c>
      <c r="D200" s="16" t="n">
        <v>57.95</v>
      </c>
      <c r="E200" s="10" t="n">
        <v>20</v>
      </c>
      <c r="F200" s="17" t="n">
        <f aca="false">C200-B200</f>
        <v>3.72999999999999</v>
      </c>
      <c r="G200" s="18" t="n">
        <f aca="false">(B200-B200/(1+E200/100)+D200)/B200</f>
        <v>0.58219800181653</v>
      </c>
      <c r="H200" s="18" t="n">
        <f aca="false">(C200-C200/(1+E200/100)+D200)/C200</f>
        <v>0.571373699280676</v>
      </c>
    </row>
    <row r="201" customFormat="false" ht="15" hidden="false" customHeight="false" outlineLevel="0" collapsed="false">
      <c r="A201" s="15" t="n">
        <v>44494</v>
      </c>
      <c r="B201" s="16" t="n">
        <v>141.81</v>
      </c>
      <c r="C201" s="16" t="n">
        <v>145.9</v>
      </c>
      <c r="D201" s="16" t="n">
        <v>57.95</v>
      </c>
      <c r="E201" s="10" t="n">
        <v>20</v>
      </c>
      <c r="F201" s="17" t="n">
        <f aca="false">C201-B201</f>
        <v>4.09</v>
      </c>
      <c r="G201" s="18" t="n">
        <f aca="false">(B201-B201/(1+E201/100)+D201)/B201</f>
        <v>0.575312037232917</v>
      </c>
      <c r="H201" s="18" t="n">
        <f aca="false">(C201-C201/(1+E201/100)+D201)/C201</f>
        <v>0.563856522732465</v>
      </c>
    </row>
    <row r="202" customFormat="false" ht="15" hidden="false" customHeight="false" outlineLevel="0" collapsed="false">
      <c r="A202" s="15" t="n">
        <v>44501</v>
      </c>
      <c r="B202" s="16" t="n">
        <v>143.7</v>
      </c>
      <c r="C202" s="16" t="n">
        <v>147.48</v>
      </c>
      <c r="D202" s="16" t="n">
        <v>57.95</v>
      </c>
      <c r="E202" s="10" t="n">
        <v>20</v>
      </c>
      <c r="F202" s="17" t="n">
        <f aca="false">C202-B202</f>
        <v>3.78</v>
      </c>
      <c r="G202" s="18" t="n">
        <f aca="false">(B202-B202/(1+E202/100)+D202)/B202</f>
        <v>0.569937369519833</v>
      </c>
      <c r="H202" s="18" t="n">
        <f aca="false">(C202-C202/(1+E202/100)+D202)/C202</f>
        <v>0.55960130187144</v>
      </c>
    </row>
    <row r="203" customFormat="false" ht="15" hidden="false" customHeight="false" outlineLevel="0" collapsed="false">
      <c r="A203" s="15" t="n">
        <v>44508</v>
      </c>
      <c r="B203" s="16" t="n">
        <v>144.9</v>
      </c>
      <c r="C203" s="16" t="n">
        <v>148.84</v>
      </c>
      <c r="D203" s="16" t="n">
        <v>57.95</v>
      </c>
      <c r="E203" s="10" t="n">
        <v>20</v>
      </c>
      <c r="F203" s="17" t="n">
        <f aca="false">C203-B203</f>
        <v>3.94</v>
      </c>
      <c r="G203" s="18" t="n">
        <f aca="false">(B203-B203/(1+E203/100)+D203)/B203</f>
        <v>0.566597653554175</v>
      </c>
      <c r="H203" s="18" t="n">
        <f aca="false">(C203-C203/(1+E203/100)+D203)/C203</f>
        <v>0.556010928961749</v>
      </c>
    </row>
    <row r="204" customFormat="false" ht="15" hidden="false" customHeight="false" outlineLevel="0" collapsed="false">
      <c r="A204" s="15" t="n">
        <v>44515</v>
      </c>
      <c r="B204" s="16" t="n">
        <v>145.87</v>
      </c>
      <c r="C204" s="16" t="n">
        <v>149.76</v>
      </c>
      <c r="D204" s="16" t="n">
        <v>57.95</v>
      </c>
      <c r="E204" s="10" t="n">
        <v>20</v>
      </c>
      <c r="F204" s="17" t="n">
        <f aca="false">C204-B204</f>
        <v>3.88999999999999</v>
      </c>
      <c r="G204" s="18" t="n">
        <f aca="false">(B204-B204/(1+E204/100)+D204)/B204</f>
        <v>0.563938209821531</v>
      </c>
      <c r="H204" s="18" t="n">
        <f aca="false">(C204-C204/(1+E204/100)+D204)/C204</f>
        <v>0.553619123931624</v>
      </c>
    </row>
    <row r="205" customFormat="false" ht="15" hidden="false" customHeight="false" outlineLevel="0" collapsed="false">
      <c r="A205" s="15" t="n">
        <v>44522</v>
      </c>
      <c r="B205" s="16" t="n">
        <v>146.89</v>
      </c>
      <c r="C205" s="16" t="n">
        <v>150.73</v>
      </c>
      <c r="D205" s="16" t="n">
        <v>57.95</v>
      </c>
      <c r="E205" s="10" t="n">
        <v>20</v>
      </c>
      <c r="F205" s="17" t="n">
        <f aca="false">C205-B205</f>
        <v>3.84</v>
      </c>
      <c r="G205" s="18" t="n">
        <f aca="false">(B205-B205/(1+E205/100)+D205)/B205</f>
        <v>0.561179567476797</v>
      </c>
      <c r="H205" s="18" t="n">
        <f aca="false">(C205-C205/(1+E205/100)+D205)/C205</f>
        <v>0.55112895022004</v>
      </c>
    </row>
    <row r="206" customFormat="false" ht="15" hidden="false" customHeight="false" outlineLevel="0" collapsed="false">
      <c r="A206" s="15" t="n">
        <v>44529</v>
      </c>
      <c r="B206" s="16" t="n">
        <v>147.53</v>
      </c>
      <c r="C206" s="16" t="n">
        <v>151.31</v>
      </c>
      <c r="D206" s="16" t="n">
        <v>57.95</v>
      </c>
      <c r="E206" s="10" t="n">
        <v>20</v>
      </c>
      <c r="F206" s="17" t="n">
        <f aca="false">C206-B206</f>
        <v>3.78</v>
      </c>
      <c r="G206" s="18" t="n">
        <f aca="false">(B206-B206/(1+E206/100)+D206)/B206</f>
        <v>0.559468130775661</v>
      </c>
      <c r="H206" s="18" t="n">
        <f aca="false">(C206-C206/(1+E206/100)+D206)/C206</f>
        <v>0.549655233185734</v>
      </c>
    </row>
    <row r="207" customFormat="false" ht="15" hidden="false" customHeight="false" outlineLevel="0" collapsed="false">
      <c r="A207" s="15" t="n">
        <v>44536</v>
      </c>
      <c r="B207" s="16" t="n">
        <v>146.89</v>
      </c>
      <c r="C207" s="16" t="n">
        <v>150.61</v>
      </c>
      <c r="D207" s="16" t="n">
        <v>57.95</v>
      </c>
      <c r="E207" s="10" t="n">
        <v>20</v>
      </c>
      <c r="F207" s="17" t="n">
        <f aca="false">C207-B207</f>
        <v>3.72000000000003</v>
      </c>
      <c r="G207" s="18" t="n">
        <f aca="false">(B207-B207/(1+E207/100)+D207)/B207</f>
        <v>0.561179567476797</v>
      </c>
      <c r="H207" s="18" t="n">
        <f aca="false">(C207-C207/(1+E207/100)+D207)/C207</f>
        <v>0.55143527432884</v>
      </c>
    </row>
    <row r="208" customFormat="false" ht="15" hidden="false" customHeight="false" outlineLevel="0" collapsed="false">
      <c r="A208" s="15" t="n">
        <v>44543</v>
      </c>
      <c r="B208" s="16" t="n">
        <v>146.22</v>
      </c>
      <c r="C208" s="16" t="n">
        <v>149.88</v>
      </c>
      <c r="D208" s="16" t="n">
        <v>57.95</v>
      </c>
      <c r="E208" s="10" t="n">
        <v>20</v>
      </c>
      <c r="F208" s="17" t="n">
        <f aca="false">C208-B208</f>
        <v>3.66</v>
      </c>
      <c r="G208" s="18" t="n">
        <f aca="false">(B208-B208/(1+E208/100)+D208)/B208</f>
        <v>0.562987279441937</v>
      </c>
      <c r="H208" s="18" t="n">
        <f aca="false">(C208-C208/(1+E208/100)+D208)/C208</f>
        <v>0.553309314117961</v>
      </c>
    </row>
    <row r="209" customFormat="false" ht="15" hidden="false" customHeight="false" outlineLevel="0" collapsed="false">
      <c r="A209" s="15" t="n">
        <v>44550</v>
      </c>
      <c r="B209" s="16" t="n">
        <v>145.16</v>
      </c>
      <c r="C209" s="16" t="n">
        <v>148.89</v>
      </c>
      <c r="D209" s="16" t="n">
        <v>57.95</v>
      </c>
      <c r="E209" s="10" t="n">
        <v>20</v>
      </c>
      <c r="F209" s="17" t="n">
        <f aca="false">C209-B209</f>
        <v>3.72999999999999</v>
      </c>
      <c r="G209" s="18" t="n">
        <f aca="false">(B209-B209/(1+E209/100)+D209)/B209</f>
        <v>0.565881326352531</v>
      </c>
      <c r="H209" s="18" t="n">
        <f aca="false">(C209-C209/(1+E209/100)+D209)/C209</f>
        <v>0.555880179998657</v>
      </c>
    </row>
    <row r="210" customFormat="false" ht="15" hidden="false" customHeight="false" outlineLevel="0" collapsed="false">
      <c r="A210" s="15" t="n">
        <v>44557</v>
      </c>
      <c r="B210" s="16" t="n">
        <v>144.92</v>
      </c>
      <c r="C210" s="16" t="n">
        <v>148.82</v>
      </c>
      <c r="D210" s="16" t="n">
        <v>57.95</v>
      </c>
      <c r="E210" s="10" t="n">
        <v>20</v>
      </c>
      <c r="F210" s="17" t="n">
        <f aca="false">C210-B210</f>
        <v>3.90000000000001</v>
      </c>
      <c r="G210" s="18" t="n">
        <f aca="false">(B210-B210/(1+E210/100)+D210)/B210</f>
        <v>0.566542460207931</v>
      </c>
      <c r="H210" s="18" t="n">
        <f aca="false">(C210-C210/(1+E210/100)+D210)/C210</f>
        <v>0.556063253146979</v>
      </c>
    </row>
    <row r="211" customFormat="false" ht="15" hidden="false" customHeight="false" outlineLevel="0" collapsed="false">
      <c r="A211" s="15" t="n">
        <v>44564</v>
      </c>
      <c r="B211" s="16" t="n">
        <v>145.04</v>
      </c>
      <c r="C211" s="16" t="n">
        <v>148.85</v>
      </c>
      <c r="D211" s="16" t="n">
        <v>57.95</v>
      </c>
      <c r="E211" s="10" t="n">
        <v>20</v>
      </c>
      <c r="F211" s="17" t="n">
        <f aca="false">C211-B211</f>
        <v>3.81</v>
      </c>
      <c r="G211" s="18" t="n">
        <f aca="false">(B211-B211/(1+E211/100)+D211)/B211</f>
        <v>0.566211619783048</v>
      </c>
      <c r="H211" s="18" t="n">
        <f aca="false">(C211-C211/(1+E211/100)+D211)/C211</f>
        <v>0.555984772141977</v>
      </c>
    </row>
    <row r="212" customFormat="false" ht="15" hidden="false" customHeight="false" outlineLevel="0" collapsed="false">
      <c r="A212" s="15" t="n">
        <v>44571</v>
      </c>
      <c r="B212" s="16" t="n">
        <v>144.82</v>
      </c>
      <c r="C212" s="16" t="n">
        <v>148.65</v>
      </c>
      <c r="D212" s="16" t="n">
        <v>57.95</v>
      </c>
      <c r="E212" s="10" t="n">
        <v>20</v>
      </c>
      <c r="F212" s="17" t="n">
        <f aca="false">C212-B212</f>
        <v>3.83000000000001</v>
      </c>
      <c r="G212" s="18" t="n">
        <f aca="false">(B212-B212/(1+E212/100)+D212)/B212</f>
        <v>0.566818579385904</v>
      </c>
      <c r="H212" s="18" t="n">
        <f aca="false">(C212-C212/(1+E212/100)+D212)/C212</f>
        <v>0.556508577194753</v>
      </c>
    </row>
    <row r="213" customFormat="false" ht="15" hidden="false" customHeight="false" outlineLevel="0" collapsed="false">
      <c r="A213" s="15" t="n">
        <v>44578</v>
      </c>
      <c r="B213" s="16" t="n">
        <v>144.8</v>
      </c>
      <c r="C213" s="16" t="n">
        <v>148.7</v>
      </c>
      <c r="D213" s="16" t="n">
        <v>57.95</v>
      </c>
      <c r="E213" s="10" t="n">
        <v>20</v>
      </c>
      <c r="F213" s="17" t="n">
        <f aca="false">C213-B213</f>
        <v>3.89999999999998</v>
      </c>
      <c r="G213" s="18" t="n">
        <f aca="false">(B213-B213/(1+E213/100)+D213)/B213</f>
        <v>0.566873848987109</v>
      </c>
      <c r="H213" s="18" t="n">
        <f aca="false">(C213-C213/(1+E213/100)+D213)/C213</f>
        <v>0.556377493835463</v>
      </c>
    </row>
    <row r="214" customFormat="false" ht="15" hidden="false" customHeight="false" outlineLevel="0" collapsed="false">
      <c r="A214" s="15" t="n">
        <v>44585</v>
      </c>
      <c r="B214" s="16" t="n">
        <v>144.87</v>
      </c>
      <c r="C214" s="16" t="n">
        <v>148.81</v>
      </c>
      <c r="D214" s="16" t="n">
        <v>57.95</v>
      </c>
      <c r="E214" s="10" t="n">
        <v>20</v>
      </c>
      <c r="F214" s="17" t="n">
        <f aca="false">C214-B214</f>
        <v>3.94</v>
      </c>
      <c r="G214" s="18" t="n">
        <f aca="false">(B214-B214/(1+E214/100)+D214)/B214</f>
        <v>0.566680472147443</v>
      </c>
      <c r="H214" s="18" t="n">
        <f aca="false">(C214-C214/(1+E214/100)+D214)/C214</f>
        <v>0.556089420513854</v>
      </c>
    </row>
    <row r="215" customFormat="false" ht="15" hidden="false" customHeight="false" outlineLevel="0" collapsed="false">
      <c r="A215" s="15" t="n">
        <v>44592</v>
      </c>
      <c r="B215" s="16" t="n">
        <v>145.74</v>
      </c>
      <c r="C215" s="16" t="n">
        <v>149.68</v>
      </c>
      <c r="D215" s="16" t="n">
        <v>57.95</v>
      </c>
      <c r="E215" s="10" t="n">
        <v>20</v>
      </c>
      <c r="F215" s="17" t="n">
        <f aca="false">C215-B215</f>
        <v>3.94</v>
      </c>
      <c r="G215" s="18" t="n">
        <f aca="false">(B215-B215/(1+E215/100)+D215)/B215</f>
        <v>0.564292575819953</v>
      </c>
      <c r="H215" s="18" t="n">
        <f aca="false">(C215-C215/(1+E215/100)+D215)/C215</f>
        <v>0.553825939782647</v>
      </c>
    </row>
    <row r="216" customFormat="false" ht="15" hidden="false" customHeight="false" outlineLevel="0" collapsed="false">
      <c r="A216" s="15" t="n">
        <v>44599</v>
      </c>
      <c r="B216" s="16" t="n">
        <v>146.33</v>
      </c>
      <c r="C216" s="16" t="n">
        <v>150.3</v>
      </c>
      <c r="D216" s="16" t="n">
        <v>57.95</v>
      </c>
      <c r="E216" s="10" t="n">
        <v>20</v>
      </c>
      <c r="F216" s="17" t="n">
        <f aca="false">C216-B216</f>
        <v>3.97</v>
      </c>
      <c r="G216" s="18" t="n">
        <f aca="false">(B216-B216/(1+E216/100)+D216)/B216</f>
        <v>0.562689355110595</v>
      </c>
      <c r="H216" s="18" t="n">
        <f aca="false">(C216-C216/(1+E216/100)+D216)/C216</f>
        <v>0.552228875582169</v>
      </c>
    </row>
    <row r="217" customFormat="false" ht="15" hidden="false" customHeight="false" outlineLevel="0" collapsed="false">
      <c r="A217" s="15" t="n">
        <v>44606</v>
      </c>
      <c r="B217" s="16" t="n">
        <v>146.95</v>
      </c>
      <c r="C217" s="16" t="n">
        <v>151.1</v>
      </c>
      <c r="D217" s="16" t="n">
        <v>57.95</v>
      </c>
      <c r="E217" s="10" t="n">
        <v>20</v>
      </c>
      <c r="F217" s="17" t="n">
        <f aca="false">C217-B217</f>
        <v>4.15000000000001</v>
      </c>
      <c r="G217" s="18" t="n">
        <f aca="false">(B217-B217/(1+E217/100)+D217)/B217</f>
        <v>0.561018487013724</v>
      </c>
      <c r="H217" s="18" t="n">
        <f aca="false">(C217-C217/(1+E217/100)+D217)/C217</f>
        <v>0.550187513787779</v>
      </c>
    </row>
    <row r="218" customFormat="false" ht="15" hidden="false" customHeight="false" outlineLevel="0" collapsed="false">
      <c r="A218" s="15" t="n">
        <v>44613</v>
      </c>
      <c r="B218" s="16" t="n">
        <v>147.77</v>
      </c>
      <c r="C218" s="16" t="n">
        <v>151.95</v>
      </c>
      <c r="D218" s="16" t="n">
        <v>57.95</v>
      </c>
      <c r="E218" s="10" t="n">
        <v>20</v>
      </c>
      <c r="F218" s="17" t="n">
        <f aca="false">C218-B218</f>
        <v>4.17999999999998</v>
      </c>
      <c r="G218" s="18" t="n">
        <f aca="false">(B218-B218/(1+E218/100)+D218)/B218</f>
        <v>0.558830163993594</v>
      </c>
      <c r="H218" s="18" t="n">
        <f aca="false">(C218-C218/(1+E218/100)+D218)/C218</f>
        <v>0.548042119118131</v>
      </c>
    </row>
    <row r="219" customFormat="false" ht="15" hidden="false" customHeight="false" outlineLevel="0" collapsed="false">
      <c r="A219" s="15" t="n">
        <v>44620</v>
      </c>
      <c r="B219" s="16" t="n">
        <v>149.22</v>
      </c>
      <c r="C219" s="16" t="n">
        <v>153.36</v>
      </c>
      <c r="D219" s="16" t="n">
        <v>57.95</v>
      </c>
      <c r="E219" s="10" t="n">
        <v>20</v>
      </c>
      <c r="F219" s="17" t="n">
        <f aca="false">C219-B219</f>
        <v>4.14000000000002</v>
      </c>
      <c r="G219" s="18" t="n">
        <f aca="false">(B219-B219/(1+E219/100)+D219)/B219</f>
        <v>0.555019434392173</v>
      </c>
      <c r="H219" s="18" t="n">
        <f aca="false">(C219-C219/(1+E219/100)+D219)/C219</f>
        <v>0.544535732916015</v>
      </c>
    </row>
    <row r="220" customFormat="false" ht="15" hidden="false" customHeight="false" outlineLevel="0" collapsed="false">
      <c r="A220" s="15" t="n">
        <v>44627</v>
      </c>
      <c r="B220" s="16" t="n">
        <v>152.95</v>
      </c>
      <c r="C220" s="16" t="n">
        <v>158.56</v>
      </c>
      <c r="D220" s="16" t="n">
        <v>57.95</v>
      </c>
      <c r="E220" s="10" t="n">
        <v>20</v>
      </c>
      <c r="F220" s="17" t="n">
        <f aca="false">C220-B220</f>
        <v>5.61000000000001</v>
      </c>
      <c r="G220" s="18" t="n">
        <f aca="false">(B220-B220/(1+E220/100)+D220)/B220</f>
        <v>0.545548654244306</v>
      </c>
      <c r="H220" s="18" t="n">
        <f aca="false">(C220-C220/(1+E220/100)+D220)/C220</f>
        <v>0.532143457786747</v>
      </c>
    </row>
    <row r="221" customFormat="false" ht="15" hidden="false" customHeight="false" outlineLevel="0" collapsed="false">
      <c r="A221" s="15" t="n">
        <v>44634</v>
      </c>
      <c r="B221" s="16" t="n">
        <v>159.96</v>
      </c>
      <c r="C221" s="16" t="n">
        <v>169.48</v>
      </c>
      <c r="D221" s="16" t="n">
        <v>57.95</v>
      </c>
      <c r="E221" s="10" t="n">
        <v>20</v>
      </c>
      <c r="F221" s="17" t="n">
        <f aca="false">C221-B221</f>
        <v>9.51999999999998</v>
      </c>
      <c r="G221" s="18" t="n">
        <f aca="false">(B221-B221/(1+E221/100)+D221)/B221</f>
        <v>0.528944736184046</v>
      </c>
      <c r="H221" s="18" t="n">
        <f aca="false">(C221-C221/(1+E221/100)+D221)/C221</f>
        <v>0.508594917787743</v>
      </c>
    </row>
    <row r="222" customFormat="false" ht="15" hidden="false" customHeight="false" outlineLevel="0" collapsed="false">
      <c r="A222" s="15" t="n">
        <v>44641</v>
      </c>
      <c r="B222" s="16" t="n">
        <v>165.37</v>
      </c>
      <c r="C222" s="16" t="n">
        <v>177.47</v>
      </c>
      <c r="D222" s="16" t="n">
        <v>57.95</v>
      </c>
      <c r="E222" s="10" t="n">
        <v>20</v>
      </c>
      <c r="F222" s="17" t="n">
        <f aca="false">C222-B222</f>
        <v>12.1</v>
      </c>
      <c r="G222" s="18" t="n">
        <f aca="false">(B222-B222/(1+E222/100)+D222)/B222</f>
        <v>0.517092983410937</v>
      </c>
      <c r="H222" s="18" t="n">
        <f aca="false">(C222-C222/(1+E222/100)+D222)/C222</f>
        <v>0.493200728761669</v>
      </c>
    </row>
    <row r="223" customFormat="false" ht="15" hidden="false" customHeight="false" outlineLevel="0" collapsed="false">
      <c r="A223" s="15" t="n">
        <v>44648</v>
      </c>
      <c r="B223" s="16" t="n">
        <v>162.65</v>
      </c>
      <c r="C223" s="16" t="n">
        <v>176.44</v>
      </c>
      <c r="D223" s="16" t="n">
        <v>52.95</v>
      </c>
      <c r="E223" s="10" t="n">
        <v>20</v>
      </c>
      <c r="F223" s="17" t="n">
        <f aca="false">C223-B223</f>
        <v>13.79</v>
      </c>
      <c r="G223" s="18" t="n">
        <f aca="false">(B223-B223/(1+E223/100)+D223)/B223</f>
        <v>0.492212316835741</v>
      </c>
      <c r="H223" s="18" t="n">
        <f aca="false">(C223-C223/(1+E223/100)+D223)/C223</f>
        <v>0.466768684349732</v>
      </c>
    </row>
    <row r="224" customFormat="false" ht="15" hidden="false" customHeight="false" outlineLevel="0" collapsed="false">
      <c r="A224" s="15" t="n">
        <v>44655</v>
      </c>
      <c r="B224" s="16" t="n">
        <v>161.91</v>
      </c>
      <c r="C224" s="16" t="n">
        <v>176</v>
      </c>
      <c r="D224" s="16" t="n">
        <v>52.95</v>
      </c>
      <c r="E224" s="10" t="n">
        <v>20</v>
      </c>
      <c r="F224" s="17" t="n">
        <f aca="false">C224-B224</f>
        <v>14.09</v>
      </c>
      <c r="G224" s="18" t="n">
        <f aca="false">(B224-B224/(1+E224/100)+D224)/B224</f>
        <v>0.493700203816935</v>
      </c>
      <c r="H224" s="18" t="n">
        <f aca="false">(C224-C224/(1+E224/100)+D224)/C224</f>
        <v>0.467518939393939</v>
      </c>
    </row>
    <row r="225" customFormat="false" ht="15" hidden="false" customHeight="false" outlineLevel="0" collapsed="false">
      <c r="A225" s="15" t="n">
        <v>44662</v>
      </c>
      <c r="B225" s="16" t="n">
        <v>161.78</v>
      </c>
      <c r="C225" s="16" t="n">
        <v>176.22</v>
      </c>
      <c r="D225" s="16" t="n">
        <v>52.95</v>
      </c>
      <c r="E225" s="10" t="n">
        <v>20</v>
      </c>
      <c r="F225" s="17" t="n">
        <f aca="false">C225-B225</f>
        <v>14.44</v>
      </c>
      <c r="G225" s="18" t="n">
        <f aca="false">(B225-B225/(1+E225/100)+D225)/B225</f>
        <v>0.493962995013805</v>
      </c>
      <c r="H225" s="18" t="n">
        <f aca="false">(C225-C225/(1+E225/100)+D225)/C225</f>
        <v>0.467143343547838</v>
      </c>
    </row>
    <row r="226" customFormat="false" ht="15" hidden="false" customHeight="false" outlineLevel="0" collapsed="false">
      <c r="A226" s="15" t="n">
        <v>44669</v>
      </c>
      <c r="B226" s="16" t="n">
        <v>161.67</v>
      </c>
      <c r="C226" s="16" t="n">
        <v>175.93</v>
      </c>
      <c r="D226" s="16" t="n">
        <v>52.95</v>
      </c>
      <c r="E226" s="10" t="n">
        <v>20</v>
      </c>
      <c r="F226" s="17" t="n">
        <f aca="false">C226-B226</f>
        <v>14.26</v>
      </c>
      <c r="G226" s="18" t="n">
        <f aca="false">(B226-B226/(1+E226/100)+D226)/B226</f>
        <v>0.494185686893054</v>
      </c>
      <c r="H226" s="18" t="n">
        <f aca="false">(C226-C226/(1+E226/100)+D226)/C226</f>
        <v>0.467638644157714</v>
      </c>
    </row>
    <row r="227" customFormat="false" ht="15" hidden="false" customHeight="false" outlineLevel="0" collapsed="false">
      <c r="A227" s="15" t="n">
        <v>44676</v>
      </c>
      <c r="B227" s="16" t="n">
        <v>161.84</v>
      </c>
      <c r="C227" s="16" t="n">
        <v>176.33</v>
      </c>
      <c r="D227" s="16" t="n">
        <v>52.95</v>
      </c>
      <c r="E227" s="10" t="n">
        <v>20</v>
      </c>
      <c r="F227" s="17" t="n">
        <f aca="false">C227-B227</f>
        <v>14.49</v>
      </c>
      <c r="G227" s="18" t="n">
        <f aca="false">(B227-B227/(1+E227/100)+D227)/B227</f>
        <v>0.493841654308782</v>
      </c>
      <c r="H227" s="18" t="n">
        <f aca="false">(C227-C227/(1+E227/100)+D227)/C227</f>
        <v>0.466955897086901</v>
      </c>
    </row>
    <row r="228" customFormat="false" ht="15" hidden="false" customHeight="false" outlineLevel="0" collapsed="false">
      <c r="A228" s="15" t="n">
        <v>44683</v>
      </c>
      <c r="B228" s="16" t="n">
        <v>162.48</v>
      </c>
      <c r="C228" s="16" t="n">
        <v>177.06</v>
      </c>
      <c r="D228" s="16" t="n">
        <v>52.95</v>
      </c>
      <c r="E228" s="10" t="n">
        <v>20</v>
      </c>
      <c r="F228" s="17" t="n">
        <f aca="false">C228-B228</f>
        <v>14.58</v>
      </c>
      <c r="G228" s="18" t="n">
        <f aca="false">(B228-B228/(1+E228/100)+D228)/B228</f>
        <v>0.492552929591334</v>
      </c>
      <c r="H228" s="18" t="n">
        <f aca="false">(C228-C228/(1+E228/100)+D228)/C228</f>
        <v>0.465717835761889</v>
      </c>
    </row>
    <row r="229" customFormat="false" ht="15" hidden="false" customHeight="false" outlineLevel="0" collapsed="false">
      <c r="A229" s="15" t="n">
        <v>44690</v>
      </c>
      <c r="B229" s="16" t="n">
        <v>163.68</v>
      </c>
      <c r="C229" s="16" t="n">
        <v>178.39</v>
      </c>
      <c r="D229" s="16" t="n">
        <v>52.95</v>
      </c>
      <c r="E229" s="10" t="n">
        <v>20</v>
      </c>
      <c r="F229" s="17" t="n">
        <f aca="false">C229-B229</f>
        <v>14.71</v>
      </c>
      <c r="G229" s="18" t="n">
        <f aca="false">(B229-B229/(1+E229/100)+D229)/B229</f>
        <v>0.490163734115347</v>
      </c>
      <c r="H229" s="18" t="n">
        <f aca="false">(C229-C229/(1+E229/100)+D229)/C229</f>
        <v>0.463488237382514</v>
      </c>
    </row>
    <row r="230" customFormat="false" ht="15" hidden="false" customHeight="false" outlineLevel="0" collapsed="false">
      <c r="A230" s="15" t="n">
        <v>44697</v>
      </c>
      <c r="B230" s="16" t="n">
        <v>165.09</v>
      </c>
      <c r="C230" s="16" t="n">
        <v>179.67</v>
      </c>
      <c r="D230" s="16" t="n">
        <v>52.95</v>
      </c>
      <c r="E230" s="10" t="n">
        <v>20</v>
      </c>
      <c r="F230" s="17" t="n">
        <f aca="false">C230-B230</f>
        <v>14.58</v>
      </c>
      <c r="G230" s="18" t="n">
        <f aca="false">(B230-B230/(1+E230/100)+D230)/B230</f>
        <v>0.487400811678478</v>
      </c>
      <c r="H230" s="18" t="n">
        <f aca="false">(C230-C230/(1+E230/100)+D230)/C230</f>
        <v>0.461373629431736</v>
      </c>
    </row>
    <row r="231" customFormat="false" ht="15" hidden="false" customHeight="false" outlineLevel="0" collapsed="false">
      <c r="A231" s="15" t="n">
        <v>44704</v>
      </c>
      <c r="B231" s="16" t="n">
        <v>167.59</v>
      </c>
      <c r="C231" s="16" t="n">
        <v>181.16</v>
      </c>
      <c r="D231" s="16" t="n">
        <v>52.95</v>
      </c>
      <c r="E231" s="10" t="n">
        <v>20</v>
      </c>
      <c r="F231" s="17" t="n">
        <f aca="false">C231-B231</f>
        <v>13.57</v>
      </c>
      <c r="G231" s="18" t="n">
        <f aca="false">(B231-B231/(1+E231/100)+D231)/B231</f>
        <v>0.482616305666607</v>
      </c>
      <c r="H231" s="18" t="n">
        <f aca="false">(C231-C231/(1+E231/100)+D231)/C231</f>
        <v>0.45894973136086</v>
      </c>
    </row>
    <row r="232" customFormat="false" ht="15" hidden="false" customHeight="false" outlineLevel="0" collapsed="false">
      <c r="A232" s="15" t="n">
        <v>44711</v>
      </c>
      <c r="B232" s="16" t="n">
        <v>170.36</v>
      </c>
      <c r="C232" s="16" t="n">
        <v>182.25</v>
      </c>
      <c r="D232" s="16" t="n">
        <v>52.95</v>
      </c>
      <c r="E232" s="10" t="n">
        <v>20</v>
      </c>
      <c r="F232" s="17" t="n">
        <f aca="false">C232-B232</f>
        <v>11.89</v>
      </c>
      <c r="G232" s="18" t="n">
        <f aca="false">(B232-B232/(1+E232/100)+D232)/B232</f>
        <v>0.477479063943023</v>
      </c>
      <c r="H232" s="18" t="n">
        <f aca="false">(C232-C232/(1+E232/100)+D232)/C232</f>
        <v>0.457201646090535</v>
      </c>
    </row>
    <row r="233" customFormat="false" ht="15" hidden="false" customHeight="false" outlineLevel="0" collapsed="false">
      <c r="A233" s="15" t="n">
        <v>44718</v>
      </c>
      <c r="B233" s="16" t="n">
        <v>174.99</v>
      </c>
      <c r="C233" s="16" t="n">
        <v>184.94</v>
      </c>
      <c r="D233" s="16" t="n">
        <v>52.95</v>
      </c>
      <c r="E233" s="10" t="n">
        <v>20</v>
      </c>
      <c r="F233" s="17" t="n">
        <f aca="false">C233-B233</f>
        <v>9.94999999999999</v>
      </c>
      <c r="G233" s="18" t="n">
        <f aca="false">(B233-B233/(1+E233/100)+D233)/B233</f>
        <v>0.469255386022058</v>
      </c>
      <c r="H233" s="18" t="n">
        <f aca="false">(C233-C233/(1+E233/100)+D233)/C233</f>
        <v>0.452975739879601</v>
      </c>
    </row>
    <row r="234" customFormat="false" ht="15" hidden="false" customHeight="false" outlineLevel="0" collapsed="false">
      <c r="A234" s="15" t="n">
        <v>44725</v>
      </c>
      <c r="B234" s="16" t="n">
        <v>182.53</v>
      </c>
      <c r="C234" s="16" t="n">
        <v>190.43</v>
      </c>
      <c r="D234" s="16" t="n">
        <v>52.95</v>
      </c>
      <c r="E234" s="10" t="n">
        <v>20</v>
      </c>
      <c r="F234" s="17" t="n">
        <f aca="false">C234-B234</f>
        <v>7.90000000000001</v>
      </c>
      <c r="G234" s="18" t="n">
        <f aca="false">(B234-B234/(1+E234/100)+D234)/B234</f>
        <v>0.456755967055644</v>
      </c>
      <c r="H234" s="18" t="n">
        <f aca="false">(C234-C234/(1+E234/100)+D234)/C234</f>
        <v>0.444721594986784</v>
      </c>
    </row>
    <row r="235" customFormat="false" ht="15" hidden="false" customHeight="false" outlineLevel="0" collapsed="false">
      <c r="A235" s="15" t="n">
        <v>44732</v>
      </c>
      <c r="B235" s="16" t="n">
        <v>186.85</v>
      </c>
      <c r="C235" s="16" t="n">
        <v>194.87</v>
      </c>
      <c r="D235" s="16" t="n">
        <v>52.95</v>
      </c>
      <c r="E235" s="10" t="n">
        <v>20</v>
      </c>
      <c r="F235" s="17" t="n">
        <f aca="false">C235-B235</f>
        <v>8.02000000000001</v>
      </c>
      <c r="G235" s="18" t="n">
        <f aca="false">(B235-B235/(1+E235/100)+D235)/B235</f>
        <v>0.45004905895995</v>
      </c>
      <c r="H235" s="18" t="n">
        <f aca="false">(C235-C235/(1+E235/100)+D235)/C235</f>
        <v>0.438386274610424</v>
      </c>
    </row>
    <row r="236" customFormat="false" ht="15" hidden="false" customHeight="false" outlineLevel="0" collapsed="false">
      <c r="A236" s="15" t="n">
        <v>44739</v>
      </c>
      <c r="B236" s="16" t="n">
        <v>190.93</v>
      </c>
      <c r="C236" s="16" t="n">
        <v>198.93</v>
      </c>
      <c r="D236" s="16" t="n">
        <v>52.95</v>
      </c>
      <c r="E236" s="10" t="n">
        <v>20</v>
      </c>
      <c r="F236" s="17" t="n">
        <f aca="false">C236-B236</f>
        <v>8</v>
      </c>
      <c r="G236" s="18" t="n">
        <f aca="false">(B236-B236/(1+E236/100)+D236)/B236</f>
        <v>0.443993435639589</v>
      </c>
      <c r="H236" s="18" t="n">
        <f aca="false">(C236-C236/(1+E236/100)+D236)/C236</f>
        <v>0.432840697732871</v>
      </c>
    </row>
    <row r="237" customFormat="false" ht="15" hidden="false" customHeight="false" outlineLevel="0" collapsed="false">
      <c r="A237" s="15" t="n">
        <v>44746</v>
      </c>
      <c r="B237" s="16" t="n">
        <v>191.55</v>
      </c>
      <c r="C237" s="16" t="n">
        <v>199.22</v>
      </c>
      <c r="D237" s="16" t="n">
        <v>52.95</v>
      </c>
      <c r="E237" s="10" t="n">
        <v>20</v>
      </c>
      <c r="F237" s="17" t="n">
        <f aca="false">C237-B237</f>
        <v>7.66999999999999</v>
      </c>
      <c r="G237" s="18" t="n">
        <f aca="false">(B237-B237/(1+E237/100)+D237)/B237</f>
        <v>0.443095797441921</v>
      </c>
      <c r="H237" s="18" t="n">
        <f aca="false">(C237-C237/(1+E237/100)+D237)/C237</f>
        <v>0.43245323428036</v>
      </c>
    </row>
    <row r="238" customFormat="false" ht="15" hidden="false" customHeight="false" outlineLevel="0" collapsed="false">
      <c r="A238" s="15" t="n">
        <v>44753</v>
      </c>
      <c r="B238" s="16" t="n">
        <v>190.63</v>
      </c>
      <c r="C238" s="16" t="n">
        <v>198.74</v>
      </c>
      <c r="D238" s="16" t="n">
        <v>52.95</v>
      </c>
      <c r="E238" s="10" t="n">
        <v>20</v>
      </c>
      <c r="F238" s="17" t="n">
        <f aca="false">C238-B238</f>
        <v>8.11000000000001</v>
      </c>
      <c r="G238" s="18" t="n">
        <f aca="false">(B238-B238/(1+E238/100)+D238)/B238</f>
        <v>0.444429872877651</v>
      </c>
      <c r="H238" s="18" t="n">
        <f aca="false">(C238-C238/(1+E238/100)+D238)/C238</f>
        <v>0.433095166213814</v>
      </c>
    </row>
    <row r="239" customFormat="false" ht="15" hidden="false" customHeight="false" outlineLevel="0" collapsed="false">
      <c r="A239" s="15" t="n">
        <v>44760</v>
      </c>
      <c r="B239" s="16" t="n">
        <v>188.92</v>
      </c>
      <c r="C239" s="16" t="n">
        <v>197.53</v>
      </c>
      <c r="D239" s="16" t="n">
        <v>52.95</v>
      </c>
      <c r="E239" s="10" t="n">
        <v>20</v>
      </c>
      <c r="F239" s="17" t="n">
        <f aca="false">C239-B239</f>
        <v>8.61000000000001</v>
      </c>
      <c r="G239" s="18" t="n">
        <f aca="false">(B239-B239/(1+E239/100)+D239)/B239</f>
        <v>0.446944032747547</v>
      </c>
      <c r="H239" s="18" t="n">
        <f aca="false">(C239-C239/(1+E239/100)+D239)/C239</f>
        <v>0.434727214431563</v>
      </c>
    </row>
    <row r="240" customFormat="false" ht="15" hidden="false" customHeight="false" outlineLevel="0" collapsed="false">
      <c r="A240" s="15" t="n">
        <v>44767</v>
      </c>
      <c r="B240" s="16" t="n">
        <v>186.6</v>
      </c>
      <c r="C240" s="16" t="n">
        <v>195.88</v>
      </c>
      <c r="D240" s="16" t="n">
        <v>52.95</v>
      </c>
      <c r="E240" s="10" t="n">
        <v>20</v>
      </c>
      <c r="F240" s="17" t="n">
        <f aca="false">C240-B240</f>
        <v>9.28</v>
      </c>
      <c r="G240" s="18" t="n">
        <f aca="false">(B240-B240/(1+E240/100)+D240)/B240</f>
        <v>0.45042872454448</v>
      </c>
      <c r="H240" s="18" t="n">
        <f aca="false">(C240-C240/(1+E240/100)+D240)/C240</f>
        <v>0.4369852290518</v>
      </c>
    </row>
    <row r="241" customFormat="false" ht="15" hidden="false" customHeight="false" outlineLevel="0" collapsed="false">
      <c r="A241" s="15" t="n">
        <v>44774</v>
      </c>
      <c r="B241" s="16" t="n">
        <v>182.77</v>
      </c>
      <c r="C241" s="16" t="n">
        <v>193.04</v>
      </c>
      <c r="D241" s="16" t="n">
        <v>52.95</v>
      </c>
      <c r="E241" s="10" t="n">
        <v>20</v>
      </c>
      <c r="F241" s="17" t="n">
        <f aca="false">C241-B241</f>
        <v>10.27</v>
      </c>
      <c r="G241" s="18" t="n">
        <f aca="false">(B241-B241/(1+E241/100)+D241)/B241</f>
        <v>0.456375043314913</v>
      </c>
      <c r="H241" s="18" t="n">
        <f aca="false">(C241-C241/(1+E241/100)+D241)/C241</f>
        <v>0.440962149468159</v>
      </c>
    </row>
    <row r="242" customFormat="false" ht="15" hidden="false" customHeight="false" outlineLevel="0" collapsed="false">
      <c r="A242" s="15" t="n">
        <v>44781</v>
      </c>
      <c r="B242" s="16" t="n">
        <v>177.64</v>
      </c>
      <c r="C242" s="16" t="n">
        <v>188.49</v>
      </c>
      <c r="D242" s="16" t="n">
        <v>52.95</v>
      </c>
      <c r="E242" s="10" t="n">
        <v>20</v>
      </c>
      <c r="F242" s="17" t="n">
        <f aca="false">C242-B242</f>
        <v>10.85</v>
      </c>
      <c r="G242" s="18" t="n">
        <f aca="false">(B242-B242/(1+E242/100)+D242)/B242</f>
        <v>0.464741424604068</v>
      </c>
      <c r="H242" s="18" t="n">
        <f aca="false">(C242-C242/(1+E242/100)+D242)/C242</f>
        <v>0.447583426176455</v>
      </c>
    </row>
    <row r="243" customFormat="false" ht="15" hidden="false" customHeight="false" outlineLevel="0" collapsed="false">
      <c r="A243" s="15" t="n">
        <v>44788</v>
      </c>
      <c r="B243" s="16" t="n">
        <v>174.19</v>
      </c>
      <c r="C243" s="16" t="n">
        <v>185.16</v>
      </c>
      <c r="D243" s="16" t="n">
        <v>52.95</v>
      </c>
      <c r="E243" s="10" t="n">
        <v>20</v>
      </c>
      <c r="F243" s="17" t="n">
        <f aca="false">C243-B243</f>
        <v>10.97</v>
      </c>
      <c r="G243" s="18" t="n">
        <f aca="false">(B243-B243/(1+E243/100)+D243)/B243</f>
        <v>0.470645081041774</v>
      </c>
      <c r="H243" s="18" t="n">
        <f aca="false">(C243-C243/(1+E243/100)+D243)/C243</f>
        <v>0.452635558435947</v>
      </c>
    </row>
    <row r="244" customFormat="false" ht="15" hidden="false" customHeight="false" outlineLevel="0" collapsed="false">
      <c r="A244" s="15" t="n">
        <v>44795</v>
      </c>
      <c r="B244" s="16" t="n">
        <v>171.14</v>
      </c>
      <c r="C244" s="16" t="n">
        <v>182.92</v>
      </c>
      <c r="D244" s="16" t="n">
        <v>52.95</v>
      </c>
      <c r="E244" s="10" t="n">
        <v>20</v>
      </c>
      <c r="F244" s="17" t="n">
        <f aca="false">C244-B244</f>
        <v>11.78</v>
      </c>
      <c r="G244" s="18" t="n">
        <f aca="false">(B244-B244/(1+E244/100)+D244)/B244</f>
        <v>0.476062482957423</v>
      </c>
      <c r="H244" s="18" t="n">
        <f aca="false">(C244-C244/(1+E244/100)+D244)/C244</f>
        <v>0.456137473576791</v>
      </c>
    </row>
    <row r="245" customFormat="false" ht="15" hidden="false" customHeight="false" outlineLevel="0" collapsed="false">
      <c r="A245" s="15" t="n">
        <v>44802</v>
      </c>
      <c r="B245" s="16" t="n">
        <v>170.12</v>
      </c>
      <c r="C245" s="16" t="n">
        <v>183.2</v>
      </c>
      <c r="D245" s="16" t="n">
        <v>52.95</v>
      </c>
      <c r="E245" s="10" t="n">
        <v>20</v>
      </c>
      <c r="F245" s="17" t="n">
        <f aca="false">C245-B245</f>
        <v>13.08</v>
      </c>
      <c r="G245" s="18" t="n">
        <f aca="false">(B245-B245/(1+E245/100)+D245)/B245</f>
        <v>0.47791754839721</v>
      </c>
      <c r="H245" s="18" t="n">
        <f aca="false">(C245-C245/(1+E245/100)+D245)/C245</f>
        <v>0.455695050946143</v>
      </c>
    </row>
    <row r="246" customFormat="false" ht="15" hidden="false" customHeight="false" outlineLevel="0" collapsed="false">
      <c r="A246" s="15" t="n">
        <v>44809</v>
      </c>
      <c r="B246" s="16" t="n">
        <v>168.93</v>
      </c>
      <c r="C246" s="16" t="n">
        <v>182.82</v>
      </c>
      <c r="D246" s="16" t="n">
        <v>52.95</v>
      </c>
      <c r="E246" s="10" t="n">
        <v>20</v>
      </c>
      <c r="F246" s="17" t="n">
        <f aca="false">C246-B246</f>
        <v>13.89</v>
      </c>
      <c r="G246" s="18" t="n">
        <f aca="false">(B246-B246/(1+E246/100)+D246)/B246</f>
        <v>0.480110104777127</v>
      </c>
      <c r="H246" s="18" t="n">
        <f aca="false">(C246-C246/(1+E246/100)+D246)/C246</f>
        <v>0.456295810086424</v>
      </c>
    </row>
    <row r="247" customFormat="false" ht="15" hidden="false" customHeight="false" outlineLevel="0" collapsed="false">
      <c r="A247" s="15" t="n">
        <v>44816</v>
      </c>
      <c r="B247" s="16" t="n">
        <v>167.61</v>
      </c>
      <c r="C247" s="16" t="n">
        <v>182.22</v>
      </c>
      <c r="D247" s="16" t="n">
        <v>52.95</v>
      </c>
      <c r="E247" s="10" t="n">
        <v>20</v>
      </c>
      <c r="F247" s="17" t="n">
        <f aca="false">C247-B247</f>
        <v>14.61</v>
      </c>
      <c r="G247" s="18" t="n">
        <f aca="false">(B247-B247/(1+E247/100)+D247)/B247</f>
        <v>0.482578605095161</v>
      </c>
      <c r="H247" s="18" t="n">
        <f aca="false">(C247-C247/(1+E247/100)+D247)/C247</f>
        <v>0.457249478652179</v>
      </c>
    </row>
    <row r="248" customFormat="false" ht="15" hidden="false" customHeight="false" outlineLevel="0" collapsed="false">
      <c r="A248" s="15" t="n">
        <v>44823</v>
      </c>
      <c r="B248" s="16" t="n">
        <v>165.47</v>
      </c>
      <c r="C248" s="16" t="n">
        <v>181.13</v>
      </c>
      <c r="D248" s="16" t="n">
        <v>52.95</v>
      </c>
      <c r="E248" s="10" t="n">
        <v>20</v>
      </c>
      <c r="F248" s="17" t="n">
        <f aca="false">C248-B248</f>
        <v>15.66</v>
      </c>
      <c r="G248" s="18" t="n">
        <f aca="false">(B248-B248/(1+E248/100)+D248)/B248</f>
        <v>0.486664249310046</v>
      </c>
      <c r="H248" s="18" t="n">
        <f aca="false">(C248-C248/(1+E248/100)+D248)/C248</f>
        <v>0.458998141298147</v>
      </c>
    </row>
    <row r="249" customFormat="false" ht="15" hidden="false" customHeight="false" outlineLevel="0" collapsed="false">
      <c r="A249" s="15" t="n">
        <v>44830</v>
      </c>
      <c r="B249" s="16" t="n">
        <v>164</v>
      </c>
      <c r="C249" s="16" t="n">
        <v>180.46</v>
      </c>
      <c r="D249" s="16" t="n">
        <v>52.95</v>
      </c>
      <c r="E249" s="10" t="n">
        <v>20</v>
      </c>
      <c r="F249" s="17" t="n">
        <f aca="false">C249-B249</f>
        <v>16.46</v>
      </c>
      <c r="G249" s="18" t="n">
        <f aca="false">(B249-B249/(1+E249/100)+D249)/B249</f>
        <v>0.489532520325203</v>
      </c>
      <c r="H249" s="18" t="n">
        <f aca="false">(C249-C249/(1+E249/100)+D249)/C249</f>
        <v>0.460083490339503</v>
      </c>
    </row>
    <row r="250" customFormat="false" ht="15" hidden="false" customHeight="false" outlineLevel="0" collapsed="false">
      <c r="A250" s="15" t="n">
        <v>44837</v>
      </c>
      <c r="B250" s="16" t="n">
        <v>162.67</v>
      </c>
      <c r="C250" s="16" t="n">
        <v>180.04</v>
      </c>
      <c r="D250" s="16" t="n">
        <v>52.95</v>
      </c>
      <c r="E250" s="10" t="n">
        <v>20</v>
      </c>
      <c r="F250" s="17" t="n">
        <f aca="false">C250-B250</f>
        <v>17.37</v>
      </c>
      <c r="G250" s="18" t="n">
        <f aca="false">(B250-B250/(1+E250/100)+D250)/B250</f>
        <v>0.492172291551403</v>
      </c>
      <c r="H250" s="18" t="n">
        <f aca="false">(C250-C250/(1+E250/100)+D250)/C250</f>
        <v>0.460767977486485</v>
      </c>
    </row>
    <row r="251" customFormat="false" ht="15" hidden="false" customHeight="false" outlineLevel="0" collapsed="false">
      <c r="A251" s="15" t="n">
        <v>44844</v>
      </c>
      <c r="B251" s="16" t="n">
        <v>162.09</v>
      </c>
      <c r="C251" s="16" t="n">
        <v>180.76</v>
      </c>
      <c r="D251" s="16" t="n">
        <v>52.95</v>
      </c>
      <c r="E251" s="10" t="n">
        <v>20</v>
      </c>
      <c r="F251" s="17" t="n">
        <f aca="false">C251-B251</f>
        <v>18.67</v>
      </c>
      <c r="G251" s="18" t="n">
        <f aca="false">(B251-B251/(1+E251/100)+D251)/B251</f>
        <v>0.493337034980566</v>
      </c>
      <c r="H251" s="18" t="n">
        <f aca="false">(C251-C251/(1+E251/100)+D251)/C251</f>
        <v>0.459596518403777</v>
      </c>
    </row>
    <row r="252" customFormat="false" ht="15" hidden="false" customHeight="false" outlineLevel="0" collapsed="false">
      <c r="A252" s="15" t="n">
        <v>44851</v>
      </c>
      <c r="B252" s="16" t="n">
        <v>162.81</v>
      </c>
      <c r="C252" s="16" t="n">
        <v>181.86</v>
      </c>
      <c r="D252" s="16" t="n">
        <v>52.95</v>
      </c>
      <c r="E252" s="10" t="n">
        <v>20</v>
      </c>
      <c r="F252" s="17" t="n">
        <f aca="false">C252-B252</f>
        <v>19.05</v>
      </c>
      <c r="G252" s="18" t="n">
        <f aca="false">(B252-B252/(1+E252/100)+D252)/B252</f>
        <v>0.49189238990234</v>
      </c>
      <c r="H252" s="18" t="n">
        <f aca="false">(C252-C252/(1+E252/100)+D252)/C252</f>
        <v>0.457824700318927</v>
      </c>
    </row>
    <row r="253" customFormat="false" ht="15" hidden="false" customHeight="false" outlineLevel="0" collapsed="false">
      <c r="A253" s="15" t="n">
        <v>44858</v>
      </c>
      <c r="B253" s="16" t="n">
        <v>164.62</v>
      </c>
      <c r="C253" s="16" t="n">
        <v>187.3</v>
      </c>
      <c r="D253" s="16" t="n">
        <v>52.95</v>
      </c>
      <c r="E253" s="10" t="n">
        <v>20</v>
      </c>
      <c r="F253" s="17" t="n">
        <f aca="false">C253-B253</f>
        <v>22.68</v>
      </c>
      <c r="G253" s="18" t="n">
        <f aca="false">(B253-B253/(1+E253/100)+D253)/B253</f>
        <v>0.488316526950958</v>
      </c>
      <c r="H253" s="18" t="n">
        <f aca="false">(C253-C253/(1+E253/100)+D253)/C253</f>
        <v>0.449368214984873</v>
      </c>
    </row>
    <row r="254" customFormat="false" ht="15" hidden="false" customHeight="false" outlineLevel="0" collapsed="false">
      <c r="A254" s="15" t="n">
        <v>44865</v>
      </c>
      <c r="B254" s="16" t="n">
        <v>165.87</v>
      </c>
      <c r="C254" s="16" t="n">
        <v>189.77</v>
      </c>
      <c r="D254" s="16" t="n">
        <v>52.95</v>
      </c>
      <c r="E254" s="10" t="n">
        <v>20</v>
      </c>
      <c r="F254" s="17" t="n">
        <f aca="false">C254-B254</f>
        <v>23.9</v>
      </c>
      <c r="G254" s="18" t="n">
        <f aca="false">(B254-B254/(1+E254/100)+D254)/B254</f>
        <v>0.485892566467716</v>
      </c>
      <c r="H254" s="18" t="n">
        <f aca="false">(C254-C254/(1+E254/100)+D254)/C254</f>
        <v>0.445688640635155</v>
      </c>
    </row>
    <row r="255" customFormat="false" ht="15" hidden="false" customHeight="false" outlineLevel="0" collapsed="false">
      <c r="A255" s="15" t="n">
        <v>44872</v>
      </c>
      <c r="B255" s="16" t="n">
        <v>165.62</v>
      </c>
      <c r="C255" s="16" t="n">
        <v>189.79</v>
      </c>
      <c r="D255" s="16" t="n">
        <v>52.95</v>
      </c>
      <c r="E255" s="10" t="n">
        <v>20</v>
      </c>
      <c r="F255" s="17" t="n">
        <f aca="false">C255-B255</f>
        <v>24.17</v>
      </c>
      <c r="G255" s="18" t="n">
        <f aca="false">(B255-B255/(1+E255/100)+D255)/B255</f>
        <v>0.486374431429376</v>
      </c>
      <c r="H255" s="18" t="n">
        <f aca="false">(C255-C255/(1+E255/100)+D255)/C255</f>
        <v>0.445659237402743</v>
      </c>
    </row>
    <row r="256" customFormat="false" ht="15" hidden="false" customHeight="false" outlineLevel="0" collapsed="false">
      <c r="A256" s="15" t="n">
        <v>44879</v>
      </c>
      <c r="B256" s="16" t="n">
        <v>164.4</v>
      </c>
      <c r="C256" s="16" t="n">
        <v>188.85</v>
      </c>
      <c r="D256" s="16" t="n">
        <v>52.95</v>
      </c>
      <c r="E256" s="10" t="n">
        <v>20</v>
      </c>
      <c r="F256" s="17" t="n">
        <f aca="false">C256-B256</f>
        <v>24.45</v>
      </c>
      <c r="G256" s="18" t="n">
        <f aca="false">(B256-B256/(1+E256/100)+D256)/B256</f>
        <v>0.48874695863747</v>
      </c>
      <c r="H256" s="18" t="n">
        <f aca="false">(C256-C256/(1+E256/100)+D256)/C256</f>
        <v>0.447047921630924</v>
      </c>
    </row>
    <row r="257" customFormat="false" ht="15" hidden="false" customHeight="false" outlineLevel="0" collapsed="false">
      <c r="A257" s="15" t="n">
        <v>44886</v>
      </c>
      <c r="B257" s="16" t="n">
        <v>163.28</v>
      </c>
      <c r="C257" s="16" t="n">
        <v>187.57</v>
      </c>
      <c r="D257" s="16" t="n">
        <v>52.95</v>
      </c>
      <c r="E257" s="10" t="n">
        <v>20</v>
      </c>
      <c r="F257" s="17" t="n">
        <f aca="false">C257-B257</f>
        <v>24.29</v>
      </c>
      <c r="G257" s="18" t="n">
        <f aca="false">(B257-B257/(1+E257/100)+D257)/B257</f>
        <v>0.490956230605912</v>
      </c>
      <c r="H257" s="18" t="n">
        <f aca="false">(C257-C257/(1+E257/100)+D257)/C257</f>
        <v>0.448961276678929</v>
      </c>
    </row>
    <row r="258" customFormat="false" ht="15" hidden="false" customHeight="false" outlineLevel="0" collapsed="false">
      <c r="A258" s="15" t="n">
        <v>44893</v>
      </c>
      <c r="B258" s="16" t="n">
        <v>161.13</v>
      </c>
      <c r="C258" s="16" t="n">
        <v>185.57</v>
      </c>
      <c r="D258" s="16" t="n">
        <v>52.95</v>
      </c>
      <c r="E258" s="10" t="n">
        <v>20</v>
      </c>
      <c r="F258" s="17" t="n">
        <f aca="false">C258-B258</f>
        <v>24.44</v>
      </c>
      <c r="G258" s="18" t="n">
        <f aca="false">(B258-B258/(1+E258/100)+D258)/B258</f>
        <v>0.495283311611742</v>
      </c>
      <c r="H258" s="18" t="n">
        <f aca="false">(C258-C258/(1+E258/100)+D258)/C258</f>
        <v>0.452003736236101</v>
      </c>
    </row>
    <row r="259" customFormat="false" ht="15" hidden="false" customHeight="false" outlineLevel="0" collapsed="false">
      <c r="A259" s="15" t="n">
        <v>44900</v>
      </c>
      <c r="B259" s="16" t="n">
        <v>159.2</v>
      </c>
      <c r="C259" s="16" t="n">
        <v>183.56</v>
      </c>
      <c r="D259" s="16" t="n">
        <v>52.95</v>
      </c>
      <c r="E259" s="10" t="n">
        <v>20</v>
      </c>
      <c r="F259" s="17" t="n">
        <f aca="false">C259-B259</f>
        <v>24.36</v>
      </c>
      <c r="G259" s="18" t="n">
        <f aca="false">(B259-B259/(1+E259/100)+D259)/B259</f>
        <v>0.49926716917923</v>
      </c>
      <c r="H259" s="18" t="n">
        <f aca="false">(C259-C259/(1+E259/100)+D259)/C259</f>
        <v>0.455128205128205</v>
      </c>
    </row>
    <row r="260" customFormat="false" ht="15" hidden="false" customHeight="false" outlineLevel="0" collapsed="false">
      <c r="A260" s="15" t="n">
        <v>44907</v>
      </c>
      <c r="B260" s="16" t="n">
        <v>155.97</v>
      </c>
      <c r="C260" s="16" t="n">
        <v>179.91</v>
      </c>
      <c r="D260" s="16" t="n">
        <v>52.95</v>
      </c>
      <c r="E260" s="10" t="n">
        <v>20</v>
      </c>
      <c r="F260" s="17" t="n">
        <f aca="false">C260-B260</f>
        <v>23.94</v>
      </c>
      <c r="G260" s="18" t="n">
        <f aca="false">(B260-B260/(1+E260/100)+D260)/B260</f>
        <v>0.506155029813426</v>
      </c>
      <c r="H260" s="18" t="n">
        <f aca="false">(C260-C260/(1+E260/100)+D260)/C260</f>
        <v>0.460980490245123</v>
      </c>
    </row>
    <row r="261" customFormat="false" ht="15" hidden="false" customHeight="false" outlineLevel="0" collapsed="false">
      <c r="A261" s="15" t="n">
        <v>44914</v>
      </c>
      <c r="B261" s="16" t="n">
        <v>154.07</v>
      </c>
      <c r="C261" s="16" t="n">
        <v>177.62</v>
      </c>
      <c r="D261" s="16" t="n">
        <v>52.95</v>
      </c>
      <c r="E261" s="10" t="n">
        <v>20</v>
      </c>
      <c r="F261" s="17" t="n">
        <f aca="false">C261-B261</f>
        <v>23.55</v>
      </c>
      <c r="G261" s="18" t="n">
        <f aca="false">(B261-B261/(1+E261/100)+D261)/B261</f>
        <v>0.510341619610134</v>
      </c>
      <c r="H261" s="18" t="n">
        <f aca="false">(C261-C261/(1+E261/100)+D261)/C261</f>
        <v>0.464774987801674</v>
      </c>
    </row>
    <row r="262" customFormat="false" ht="15" hidden="false" customHeight="false" outlineLevel="0" collapsed="false">
      <c r="A262" s="15" t="n">
        <v>44921</v>
      </c>
      <c r="B262" s="16" t="n">
        <v>151.94</v>
      </c>
      <c r="C262" s="16" t="n">
        <v>175.52</v>
      </c>
      <c r="D262" s="16" t="n">
        <v>52.95</v>
      </c>
      <c r="E262" s="10" t="n">
        <v>20</v>
      </c>
      <c r="F262" s="17" t="n">
        <f aca="false">C262-B262</f>
        <v>23.58</v>
      </c>
      <c r="G262" s="18" t="n">
        <f aca="false">(B262-B262/(1+E262/100)+D262)/B262</f>
        <v>0.515159492782239</v>
      </c>
      <c r="H262" s="18" t="n">
        <f aca="false">(C262-C262/(1+E262/100)+D262)/C262</f>
        <v>0.468341689456092</v>
      </c>
    </row>
    <row r="263" customFormat="false" ht="15" hidden="false" customHeight="false" outlineLevel="0" collapsed="false">
      <c r="A263" s="15" t="n">
        <v>44928</v>
      </c>
      <c r="B263" s="16" t="n">
        <v>150.9</v>
      </c>
      <c r="C263" s="16" t="n">
        <v>174.16</v>
      </c>
      <c r="D263" s="16" t="n">
        <v>52.95</v>
      </c>
      <c r="E263" s="10" t="n">
        <v>20</v>
      </c>
      <c r="F263" s="17" t="n">
        <f aca="false">C263-B263</f>
        <v>23.26</v>
      </c>
      <c r="G263" s="18" t="n">
        <f aca="false">(B263-B263/(1+E263/100)+D263)/B263</f>
        <v>0.517561298873426</v>
      </c>
      <c r="H263" s="18" t="n">
        <f aca="false">(C263-C263/(1+E263/100)+D263)/C263</f>
        <v>0.470697442964324</v>
      </c>
    </row>
    <row r="264" customFormat="false" ht="15" hidden="false" customHeight="false" outlineLevel="0" collapsed="false">
      <c r="A264" s="15" t="n">
        <v>44935</v>
      </c>
      <c r="B264" s="16" t="n">
        <v>149.97</v>
      </c>
      <c r="C264" s="16" t="n">
        <v>173.16</v>
      </c>
      <c r="D264" s="16" t="n">
        <v>52.95</v>
      </c>
      <c r="E264" s="10" t="n">
        <v>20</v>
      </c>
      <c r="F264" s="17" t="n">
        <f aca="false">C264-B264</f>
        <v>23.19</v>
      </c>
      <c r="G264" s="18" t="n">
        <f aca="false">(B264-B264/(1+E264/100)+D264)/B264</f>
        <v>0.519737280789491</v>
      </c>
      <c r="H264" s="18" t="n">
        <f aca="false">(C264-C264/(1+E264/100)+D264)/C264</f>
        <v>0.472453222453222</v>
      </c>
    </row>
    <row r="265" customFormat="false" ht="15" hidden="false" customHeight="false" outlineLevel="0" collapsed="false">
      <c r="A265" s="15" t="n">
        <v>44942</v>
      </c>
      <c r="B265" s="16" t="n">
        <v>148.79</v>
      </c>
      <c r="C265" s="16" t="n">
        <v>171.64</v>
      </c>
      <c r="D265" s="16" t="n">
        <v>52.95</v>
      </c>
      <c r="E265" s="10" t="n">
        <v>20</v>
      </c>
      <c r="F265" s="17" t="n">
        <f aca="false">C265-B265</f>
        <v>22.85</v>
      </c>
      <c r="G265" s="18" t="n">
        <f aca="false">(B265-B265/(1+E265/100)+D265)/B265</f>
        <v>0.522537356901226</v>
      </c>
      <c r="H265" s="18" t="n">
        <f aca="false">(C265-C265/(1+E265/100)+D265)/C265</f>
        <v>0.475161190087781</v>
      </c>
    </row>
    <row r="266" customFormat="false" ht="15" hidden="false" customHeight="false" outlineLevel="0" collapsed="false">
      <c r="A266" s="15" t="n">
        <v>44949</v>
      </c>
      <c r="B266" s="16" t="n">
        <v>148.21</v>
      </c>
      <c r="C266" s="16" t="n">
        <v>170.86</v>
      </c>
      <c r="D266" s="16" t="n">
        <v>52.95</v>
      </c>
      <c r="E266" s="10" t="n">
        <v>20</v>
      </c>
      <c r="F266" s="17" t="n">
        <f aca="false">C266-B266</f>
        <v>22.65</v>
      </c>
      <c r="G266" s="18" t="n">
        <f aca="false">(B266-B266/(1+E266/100)+D266)/B266</f>
        <v>0.52393000922115</v>
      </c>
      <c r="H266" s="18" t="n">
        <f aca="false">(C266-C266/(1+E266/100)+D266)/C266</f>
        <v>0.476569511100706</v>
      </c>
    </row>
    <row r="267" customFormat="false" ht="15" hidden="false" customHeight="false" outlineLevel="0" collapsed="false">
      <c r="A267" s="15" t="n">
        <v>44956</v>
      </c>
      <c r="B267" s="16" t="n">
        <v>148.18</v>
      </c>
      <c r="C267" s="16" t="n">
        <v>170.56</v>
      </c>
      <c r="D267" s="16" t="n">
        <v>52.95</v>
      </c>
      <c r="E267" s="10" t="n">
        <v>20</v>
      </c>
      <c r="F267" s="17" t="n">
        <f aca="false">C267-B267</f>
        <v>22.38</v>
      </c>
      <c r="G267" s="18" t="n">
        <f aca="false">(B267-B267/(1+E267/100)+D267)/B267</f>
        <v>0.524002339497008</v>
      </c>
      <c r="H267" s="18" t="n">
        <f aca="false">(C267-C267/(1+E267/100)+D267)/C267</f>
        <v>0.477114602876798</v>
      </c>
    </row>
    <row r="268" customFormat="false" ht="15" hidden="false" customHeight="false" outlineLevel="0" collapsed="false">
      <c r="A268" s="15" t="n">
        <v>44963</v>
      </c>
      <c r="B268" s="16" t="n">
        <v>148.34</v>
      </c>
      <c r="C268" s="16" t="n">
        <v>170.36</v>
      </c>
      <c r="D268" s="16" t="n">
        <v>52.95</v>
      </c>
      <c r="E268" s="10" t="n">
        <v>20</v>
      </c>
      <c r="F268" s="17" t="n">
        <f aca="false">C268-B268</f>
        <v>22.02</v>
      </c>
      <c r="G268" s="18" t="n">
        <f aca="false">(B268-B268/(1+E268/100)+D268)/B268</f>
        <v>0.523616916093659</v>
      </c>
      <c r="H268" s="18" t="n">
        <f aca="false">(C268-C268/(1+E268/100)+D268)/C268</f>
        <v>0.477479063943023</v>
      </c>
    </row>
    <row r="269" customFormat="false" ht="15" hidden="false" customHeight="false" outlineLevel="0" collapsed="false">
      <c r="A269" s="15" t="n">
        <v>44970</v>
      </c>
      <c r="B269" s="16" t="n">
        <v>147.98</v>
      </c>
      <c r="C269" s="16" t="n">
        <v>169.66</v>
      </c>
      <c r="D269" s="16" t="n">
        <v>52.95</v>
      </c>
      <c r="E269" s="10" t="n">
        <v>20</v>
      </c>
      <c r="F269" s="17" t="n">
        <f aca="false">C269-B269</f>
        <v>21.68</v>
      </c>
      <c r="G269" s="18" t="n">
        <f aca="false">(B269-B269/(1+E269/100)+D269)/B269</f>
        <v>0.524485290805064</v>
      </c>
      <c r="H269" s="18" t="n">
        <f aca="false">(C269-C269/(1+E269/100)+D269)/C269</f>
        <v>0.478761444457543</v>
      </c>
    </row>
    <row r="270" customFormat="false" ht="15" hidden="false" customHeight="false" outlineLevel="0" collapsed="false">
      <c r="A270" s="15" t="n">
        <v>44977</v>
      </c>
      <c r="B270" s="16" t="n">
        <v>147.86</v>
      </c>
      <c r="C270" s="16" t="n">
        <v>169.3</v>
      </c>
      <c r="D270" s="16" t="n">
        <v>52.95</v>
      </c>
      <c r="E270" s="10" t="n">
        <v>20</v>
      </c>
      <c r="F270" s="17" t="n">
        <f aca="false">C270-B270</f>
        <v>21.44</v>
      </c>
      <c r="G270" s="18" t="n">
        <f aca="false">(B270-B270/(1+E270/100)+D270)/B270</f>
        <v>0.52477568871455</v>
      </c>
      <c r="H270" s="18" t="n">
        <f aca="false">(C270-C270/(1+E270/100)+D270)/C270</f>
        <v>0.479425083677889</v>
      </c>
    </row>
    <row r="271" customFormat="false" ht="15" hidden="false" customHeight="false" outlineLevel="0" collapsed="false">
      <c r="A271" s="15" t="n">
        <v>44984</v>
      </c>
      <c r="B271" s="16" t="n">
        <v>147.55</v>
      </c>
      <c r="C271" s="16" t="n">
        <v>168.56</v>
      </c>
      <c r="D271" s="16" t="n">
        <v>52.95</v>
      </c>
      <c r="E271" s="10" t="n">
        <v>20</v>
      </c>
      <c r="F271" s="17" t="n">
        <f aca="false">C271-B271</f>
        <v>21.01</v>
      </c>
      <c r="G271" s="18" t="n">
        <f aca="false">(B271-B271/(1+E271/100)+D271)/B271</f>
        <v>0.525528069580933</v>
      </c>
      <c r="H271" s="18" t="n">
        <f aca="false">(C271-C271/(1+E271/100)+D271)/C271</f>
        <v>0.480798133206771</v>
      </c>
    </row>
    <row r="272" customFormat="false" ht="15" hidden="false" customHeight="false" outlineLevel="0" collapsed="false">
      <c r="A272" s="15" t="n">
        <v>44991</v>
      </c>
      <c r="B272" s="16" t="n">
        <v>147.12</v>
      </c>
      <c r="C272" s="16" t="n">
        <v>167.33</v>
      </c>
      <c r="D272" s="16" t="n">
        <v>52.95</v>
      </c>
      <c r="E272" s="10" t="n">
        <v>20</v>
      </c>
      <c r="F272" s="17" t="n">
        <f aca="false">C272-B272</f>
        <v>20.21</v>
      </c>
      <c r="G272" s="18" t="n">
        <f aca="false">(B272-B272/(1+E272/100)+D272)/B272</f>
        <v>0.5265769439913</v>
      </c>
      <c r="H272" s="18" t="n">
        <f aca="false">(C272-C272/(1+E272/100)+D272)/C272</f>
        <v>0.483107233211817</v>
      </c>
    </row>
    <row r="273" customFormat="false" ht="15" hidden="false" customHeight="false" outlineLevel="0" collapsed="false">
      <c r="A273" s="15" t="n">
        <v>44998</v>
      </c>
      <c r="B273" s="16" t="n">
        <v>146.97</v>
      </c>
      <c r="C273" s="16" t="n">
        <v>167.04</v>
      </c>
      <c r="D273" s="16" t="n">
        <v>52.95</v>
      </c>
      <c r="E273" s="10" t="n">
        <v>20</v>
      </c>
      <c r="F273" s="17" t="n">
        <f aca="false">C273-B273</f>
        <v>20.07</v>
      </c>
      <c r="G273" s="18" t="n">
        <f aca="false">(B273-B273/(1+E273/100)+D273)/B273</f>
        <v>0.526944274341702</v>
      </c>
      <c r="H273" s="18" t="n">
        <f aca="false">(C273-C273/(1+E273/100)+D273)/C273</f>
        <v>0.483656609195402</v>
      </c>
    </row>
    <row r="274" customFormat="false" ht="15" hidden="false" customHeight="false" outlineLevel="0" collapsed="false">
      <c r="A274" s="15" t="n">
        <v>45005</v>
      </c>
      <c r="B274" s="16" t="n">
        <v>146.62</v>
      </c>
      <c r="C274" s="16" t="n">
        <v>166.26</v>
      </c>
      <c r="D274" s="16" t="n">
        <v>52.95</v>
      </c>
      <c r="E274" s="10" t="n">
        <v>20</v>
      </c>
      <c r="F274" s="17" t="n">
        <f aca="false">C274-B274</f>
        <v>19.64</v>
      </c>
      <c r="G274" s="18" t="n">
        <f aca="false">(B274-B274/(1+E274/100)+D274)/B274</f>
        <v>0.527804301368617</v>
      </c>
      <c r="H274" s="18" t="n">
        <f aca="false">(C274-C274/(1+E274/100)+D274)/C274</f>
        <v>0.485143750751834</v>
      </c>
    </row>
    <row r="275" customFormat="false" ht="15" hidden="false" customHeight="false" outlineLevel="0" collapsed="false">
      <c r="A275" s="15" t="n">
        <v>45012</v>
      </c>
      <c r="B275" s="16" t="n">
        <v>146.21</v>
      </c>
      <c r="C275" s="16" t="n">
        <v>165.18</v>
      </c>
      <c r="D275" s="16" t="n">
        <v>52.95</v>
      </c>
      <c r="E275" s="10" t="n">
        <v>20</v>
      </c>
      <c r="F275" s="17" t="n">
        <f aca="false">C275-B275</f>
        <v>18.97</v>
      </c>
      <c r="G275" s="18" t="n">
        <f aca="false">(B275-B275/(1+E275/100)+D275)/B275</f>
        <v>0.528816998381324</v>
      </c>
      <c r="H275" s="18" t="n">
        <f aca="false">(C275-C275/(1+E275/100)+D275)/C275</f>
        <v>0.487226056423296</v>
      </c>
    </row>
    <row r="276" customFormat="false" ht="15" hidden="false" customHeight="false" outlineLevel="0" collapsed="false">
      <c r="A276" s="15" t="n">
        <v>45019</v>
      </c>
      <c r="B276" s="16" t="n">
        <v>145.72</v>
      </c>
      <c r="C276" s="16" t="n">
        <v>163.71</v>
      </c>
      <c r="D276" s="16" t="n">
        <v>52.95</v>
      </c>
      <c r="E276" s="10" t="n">
        <v>20</v>
      </c>
      <c r="F276" s="17" t="n">
        <f aca="false">C276-B276</f>
        <v>17.99</v>
      </c>
      <c r="G276" s="18" t="n">
        <f aca="false">(B276-B276/(1+E276/100)+D276)/B276</f>
        <v>0.530034769878305</v>
      </c>
      <c r="H276" s="18" t="n">
        <f aca="false">(C276-C276/(1+E276/100)+D276)/C276</f>
        <v>0.490104452996152</v>
      </c>
    </row>
    <row r="277" customFormat="false" ht="15" hidden="false" customHeight="false" outlineLevel="0" collapsed="false">
      <c r="A277" s="15" t="n">
        <v>45026</v>
      </c>
      <c r="B277" s="16" t="n">
        <v>145.82</v>
      </c>
      <c r="C277" s="16" t="n">
        <v>162.71</v>
      </c>
      <c r="D277" s="16" t="n">
        <v>52.95</v>
      </c>
      <c r="E277" s="10" t="n">
        <v>20</v>
      </c>
      <c r="F277" s="17" t="n">
        <f aca="false">C277-B277</f>
        <v>16.89</v>
      </c>
      <c r="G277" s="18" t="n">
        <f aca="false">(B277-B277/(1+E277/100)+D277)/B277</f>
        <v>0.529785580395922</v>
      </c>
      <c r="H277" s="18" t="n">
        <f aca="false">(C277-C277/(1+E277/100)+D277)/C277</f>
        <v>0.492092270501711</v>
      </c>
    </row>
    <row r="278" customFormat="false" ht="15" hidden="false" customHeight="false" outlineLevel="0" collapsed="false">
      <c r="A278" s="15" t="n">
        <v>45033</v>
      </c>
      <c r="B278" s="16" t="n">
        <v>145.93</v>
      </c>
      <c r="C278" s="16" t="n">
        <v>162.11</v>
      </c>
      <c r="D278" s="16" t="n">
        <v>52.95</v>
      </c>
      <c r="E278" s="10" t="n">
        <v>20</v>
      </c>
      <c r="F278" s="17" t="n">
        <f aca="false">C278-B278</f>
        <v>16.18</v>
      </c>
      <c r="G278" s="18" t="n">
        <f aca="false">(B278-B278/(1+E278/100)+D278)/B278</f>
        <v>0.529511866419973</v>
      </c>
      <c r="H278" s="18" t="n">
        <f aca="false">(C278-C278/(1+E278/100)+D278)/C278</f>
        <v>0.493296732671231</v>
      </c>
    </row>
    <row r="279" customFormat="false" ht="15" hidden="false" customHeight="false" outlineLevel="0" collapsed="false">
      <c r="A279" s="15" t="n">
        <v>45040</v>
      </c>
      <c r="B279" s="16" t="n">
        <v>145.84</v>
      </c>
      <c r="C279" s="16" t="n">
        <v>161.34</v>
      </c>
      <c r="D279" s="16" t="n">
        <v>52.95</v>
      </c>
      <c r="E279" s="10" t="n">
        <v>20</v>
      </c>
      <c r="F279" s="17" t="n">
        <f aca="false">C279-B279</f>
        <v>15.5</v>
      </c>
      <c r="G279" s="18" t="n">
        <f aca="false">(B279-B279/(1+E279/100)+D279)/B279</f>
        <v>0.52973578350704</v>
      </c>
      <c r="H279" s="18" t="n">
        <f aca="false">(C279-C279/(1+E279/100)+D279)/C279</f>
        <v>0.49485558447998</v>
      </c>
    </row>
    <row r="280" customFormat="false" ht="15" hidden="false" customHeight="false" outlineLevel="0" collapsed="false">
      <c r="A280" s="15" t="n">
        <v>45047</v>
      </c>
      <c r="B280" s="16" t="n">
        <v>145.71</v>
      </c>
      <c r="C280" s="16" t="n">
        <v>160.35</v>
      </c>
      <c r="D280" s="16" t="n">
        <v>52.95</v>
      </c>
      <c r="E280" s="10" t="n">
        <v>20</v>
      </c>
      <c r="F280" s="17" t="n">
        <f aca="false">C280-B280</f>
        <v>14.64</v>
      </c>
      <c r="G280" s="18" t="n">
        <f aca="false">(B280-B280/(1+E280/100)+D280)/B280</f>
        <v>0.53005970763846</v>
      </c>
      <c r="H280" s="18" t="n">
        <f aca="false">(C280-C280/(1+E280/100)+D280)/C280</f>
        <v>0.496881821016526</v>
      </c>
    </row>
    <row r="281" customFormat="false" ht="15" hidden="false" customHeight="false" outlineLevel="0" collapsed="false">
      <c r="A281" s="15" t="n">
        <v>45054</v>
      </c>
      <c r="B281" s="16" t="n">
        <v>145.3</v>
      </c>
      <c r="C281" s="16" t="n">
        <v>158.12</v>
      </c>
      <c r="D281" s="16" t="n">
        <v>52.95</v>
      </c>
      <c r="E281" s="10" t="n">
        <v>20</v>
      </c>
      <c r="F281" s="17" t="n">
        <f aca="false">C281-B281</f>
        <v>12.82</v>
      </c>
      <c r="G281" s="18" t="n">
        <f aca="false">(B281-B281/(1+E281/100)+D281)/B281</f>
        <v>0.531085111264051</v>
      </c>
      <c r="H281" s="18" t="n">
        <f aca="false">(C281-C281/(1+E281/100)+D281)/C281</f>
        <v>0.501538915591534</v>
      </c>
    </row>
    <row r="282" customFormat="false" ht="15" hidden="false" customHeight="false" outlineLevel="0" collapsed="false">
      <c r="A282" s="15" t="n">
        <v>45061</v>
      </c>
      <c r="B282" s="16" t="n">
        <v>144.65</v>
      </c>
      <c r="C282" s="16" t="n">
        <v>155.53</v>
      </c>
      <c r="D282" s="16" t="n">
        <v>52.95</v>
      </c>
      <c r="E282" s="10" t="n">
        <v>20</v>
      </c>
      <c r="F282" s="17" t="n">
        <f aca="false">C282-B282</f>
        <v>10.88</v>
      </c>
      <c r="G282" s="18" t="n">
        <f aca="false">(B282-B282/(1+E282/100)+D282)/B282</f>
        <v>0.532722663901371</v>
      </c>
      <c r="H282" s="18" t="n">
        <f aca="false">(C282-C282/(1+E282/100)+D282)/C282</f>
        <v>0.507115454681841</v>
      </c>
    </row>
    <row r="283" customFormat="false" ht="15" hidden="false" customHeight="false" outlineLevel="0" collapsed="false">
      <c r="A283" s="15" t="n">
        <v>45068</v>
      </c>
      <c r="B283" s="16" t="n">
        <v>143.64</v>
      </c>
      <c r="C283" s="16" t="n">
        <v>151.59</v>
      </c>
      <c r="D283" s="16" t="n">
        <v>52.95</v>
      </c>
      <c r="E283" s="10" t="n">
        <v>20</v>
      </c>
      <c r="F283" s="17" t="n">
        <f aca="false">C283-B283</f>
        <v>7.95000000000002</v>
      </c>
      <c r="G283" s="18" t="n">
        <f aca="false">(B283-B283/(1+E283/100)+D283)/B283</f>
        <v>0.535296574770259</v>
      </c>
      <c r="H283" s="18" t="n">
        <f aca="false">(C283-C283/(1+E283/100)+D283)/C283</f>
        <v>0.515964113727819</v>
      </c>
    </row>
    <row r="284" customFormat="false" ht="15" hidden="false" customHeight="false" outlineLevel="0" collapsed="false">
      <c r="A284" s="15" t="n">
        <v>45075</v>
      </c>
      <c r="B284" s="16" t="n">
        <v>142.94</v>
      </c>
      <c r="C284" s="16" t="n">
        <v>147.87</v>
      </c>
      <c r="D284" s="16" t="n">
        <v>52.95</v>
      </c>
      <c r="E284" s="10" t="n">
        <v>20</v>
      </c>
      <c r="F284" s="17" t="n">
        <f aca="false">C284-B284</f>
        <v>4.93000000000001</v>
      </c>
      <c r="G284" s="18" t="n">
        <f aca="false">(B284-B284/(1+E284/100)+D284)/B284</f>
        <v>0.53710181428105</v>
      </c>
      <c r="H284" s="18" t="n">
        <f aca="false">(C284-C284/(1+E284/100)+D284)/C284</f>
        <v>0.52475147088659</v>
      </c>
    </row>
    <row r="285" customFormat="false" ht="15" hidden="false" customHeight="false" outlineLevel="0" collapsed="false">
      <c r="A285" s="15" t="n">
        <v>45082</v>
      </c>
      <c r="B285" s="16" t="n">
        <v>142.9</v>
      </c>
      <c r="C285" s="16" t="n">
        <v>146.43</v>
      </c>
      <c r="D285" s="16" t="n">
        <v>52.95</v>
      </c>
      <c r="E285" s="10" t="n">
        <v>20</v>
      </c>
      <c r="F285" s="17" t="n">
        <f aca="false">C285-B285</f>
        <v>3.53</v>
      </c>
      <c r="G285" s="18" t="n">
        <f aca="false">(B285-B285/(1+E285/100)+D285)/B285</f>
        <v>0.537205505015162</v>
      </c>
      <c r="H285" s="18" t="n">
        <f aca="false">(C285-C285/(1+E285/100)+D285)/C285</f>
        <v>0.528272894898586</v>
      </c>
    </row>
    <row r="286" customFormat="false" ht="15" hidden="false" customHeight="false" outlineLevel="0" collapsed="false">
      <c r="A286" s="15" t="n">
        <v>45089</v>
      </c>
      <c r="B286" s="16" t="n">
        <v>142.71</v>
      </c>
      <c r="C286" s="16" t="n">
        <v>145.48</v>
      </c>
      <c r="D286" s="16" t="n">
        <v>52.95</v>
      </c>
      <c r="E286" s="10" t="n">
        <v>20</v>
      </c>
      <c r="F286" s="17" t="n">
        <f aca="false">C286-B286</f>
        <v>2.76999999999998</v>
      </c>
      <c r="G286" s="18" t="n">
        <f aca="false">(B286-B286/(1+E286/100)+D286)/B286</f>
        <v>0.537698829794689</v>
      </c>
      <c r="H286" s="18" t="n">
        <f aca="false">(C286-C286/(1+E286/100)+D286)/C286</f>
        <v>0.530634222344423</v>
      </c>
    </row>
    <row r="287" customFormat="false" ht="15" hidden="false" customHeight="false" outlineLevel="0" collapsed="false">
      <c r="A287" s="15" t="n">
        <v>45096</v>
      </c>
      <c r="B287" s="16" t="n">
        <v>142.95</v>
      </c>
      <c r="C287" s="16" t="n">
        <v>145.2</v>
      </c>
      <c r="D287" s="16" t="n">
        <v>52.95</v>
      </c>
      <c r="E287" s="10" t="n">
        <v>20</v>
      </c>
      <c r="F287" s="17" t="n">
        <f aca="false">C287-B287</f>
        <v>2.25</v>
      </c>
      <c r="G287" s="18" t="n">
        <f aca="false">(B287-B287/(1+E287/100)+D287)/B287</f>
        <v>0.537075900664568</v>
      </c>
      <c r="H287" s="18" t="n">
        <f aca="false">(C287-C287/(1+E287/100)+D287)/C287</f>
        <v>0.53133608815427</v>
      </c>
    </row>
    <row r="288" customFormat="false" ht="15" hidden="false" customHeight="false" outlineLevel="0" collapsed="false">
      <c r="A288" s="15" t="n">
        <v>45103</v>
      </c>
      <c r="B288" s="16" t="n">
        <v>143.43</v>
      </c>
      <c r="C288" s="16" t="n">
        <v>145.65</v>
      </c>
      <c r="D288" s="16" t="n">
        <v>52.95</v>
      </c>
      <c r="E288" s="10" t="n">
        <v>20</v>
      </c>
      <c r="F288" s="17" t="n">
        <f aca="false">C288-B288</f>
        <v>2.22</v>
      </c>
      <c r="G288" s="18" t="n">
        <f aca="false">(B288-B288/(1+E288/100)+D288)/B288</f>
        <v>0.535836296451231</v>
      </c>
      <c r="H288" s="18" t="n">
        <f aca="false">(C288-C288/(1+E288/100)+D288)/C288</f>
        <v>0.530209406110539</v>
      </c>
    </row>
    <row r="289" customFormat="false" ht="15" hidden="false" customHeight="false" outlineLevel="0" collapsed="false">
      <c r="A289" s="15" t="n">
        <v>45110</v>
      </c>
      <c r="B289" s="16" t="n">
        <v>143.4</v>
      </c>
      <c r="C289" s="16" t="n">
        <v>145.52</v>
      </c>
      <c r="D289" s="16" t="n">
        <v>52.95</v>
      </c>
      <c r="E289" s="10" t="n">
        <v>20</v>
      </c>
      <c r="F289" s="17" t="n">
        <f aca="false">C289-B289</f>
        <v>2.12</v>
      </c>
      <c r="G289" s="18" t="n">
        <f aca="false">(B289-B289/(1+E289/100)+D289)/B289</f>
        <v>0.535913528591353</v>
      </c>
      <c r="H289" s="18" t="n">
        <f aca="false">(C289-C289/(1+E289/100)+D289)/C289</f>
        <v>0.530534176287337</v>
      </c>
    </row>
    <row r="290" customFormat="false" ht="15" hidden="false" customHeight="false" outlineLevel="0" collapsed="false">
      <c r="A290" s="15" t="n">
        <v>45117</v>
      </c>
      <c r="B290" s="16" t="n">
        <v>142.87</v>
      </c>
      <c r="C290" s="16" t="n">
        <v>144.73</v>
      </c>
      <c r="D290" s="16" t="n">
        <v>52.95</v>
      </c>
      <c r="E290" s="10" t="n">
        <v>20</v>
      </c>
      <c r="F290" s="17" t="n">
        <f aca="false">C290-B290</f>
        <v>1.85999999999999</v>
      </c>
      <c r="G290" s="18" t="n">
        <f aca="false">(B290-B290/(1+E290/100)+D290)/B290</f>
        <v>0.537283311168662</v>
      </c>
      <c r="H290" s="18" t="n">
        <f aca="false">(C290-C290/(1+E290/100)+D290)/C290</f>
        <v>0.532520325203252</v>
      </c>
    </row>
    <row r="291" customFormat="false" ht="15" hidden="false" customHeight="false" outlineLevel="0" collapsed="false">
      <c r="A291" s="15" t="n">
        <v>45124</v>
      </c>
      <c r="B291" s="16" t="n">
        <v>142.77</v>
      </c>
      <c r="C291" s="16" t="n">
        <v>144.64</v>
      </c>
      <c r="D291" s="16" t="n">
        <v>52.95</v>
      </c>
      <c r="E291" s="10" t="n">
        <v>20</v>
      </c>
      <c r="F291" s="17" t="n">
        <f aca="false">C291-B291</f>
        <v>1.86999999999998</v>
      </c>
      <c r="G291" s="18" t="n">
        <f aca="false">(B291-B291/(1+E291/100)+D291)/B291</f>
        <v>0.537542901169714</v>
      </c>
      <c r="H291" s="18" t="n">
        <f aca="false">(C291-C291/(1+E291/100)+D291)/C291</f>
        <v>0.532747971976401</v>
      </c>
    </row>
    <row r="292" customFormat="false" ht="15" hidden="false" customHeight="false" outlineLevel="0" collapsed="false">
      <c r="A292" s="15" t="n">
        <v>45131</v>
      </c>
      <c r="B292" s="16" t="n">
        <v>142.96</v>
      </c>
      <c r="C292" s="16" t="n">
        <v>145.13</v>
      </c>
      <c r="D292" s="16" t="n">
        <v>52.95</v>
      </c>
      <c r="E292" s="10" t="n">
        <v>20</v>
      </c>
      <c r="F292" s="17" t="n">
        <f aca="false">C292-B292</f>
        <v>2.16999999999999</v>
      </c>
      <c r="G292" s="18" t="n">
        <f aca="false">(B292-B292/(1+E292/100)+D292)/B292</f>
        <v>0.537049990673382</v>
      </c>
      <c r="H292" s="18" t="n">
        <f aca="false">(C292-C292/(1+E292/100)+D292)/C292</f>
        <v>0.53151197776706</v>
      </c>
    </row>
    <row r="293" customFormat="false" ht="15" hidden="false" customHeight="false" outlineLevel="0" collapsed="false">
      <c r="A293" s="15" t="n">
        <v>45138</v>
      </c>
      <c r="B293" s="16" t="n">
        <v>144.13</v>
      </c>
      <c r="C293" s="16" t="n">
        <v>145.95</v>
      </c>
      <c r="D293" s="16" t="n">
        <v>52.95</v>
      </c>
      <c r="E293" s="10" t="n">
        <v>20</v>
      </c>
      <c r="F293" s="17" t="n">
        <f aca="false">C293-B293</f>
        <v>1.81999999999999</v>
      </c>
      <c r="G293" s="18" t="n">
        <f aca="false">(B293-B293/(1+E293/100)+D293)/B293</f>
        <v>0.534043340502787</v>
      </c>
      <c r="H293" s="18" t="n">
        <f aca="false">(C293-C293/(1+E293/100)+D293)/C293</f>
        <v>0.529462144570058</v>
      </c>
    </row>
    <row r="294" customFormat="false" ht="15" hidden="false" customHeight="false" outlineLevel="0" collapsed="false">
      <c r="A294" s="15" t="n">
        <v>45145</v>
      </c>
      <c r="B294" s="16" t="n">
        <v>146.18</v>
      </c>
      <c r="C294" s="16" t="n">
        <v>148.23</v>
      </c>
      <c r="D294" s="16" t="n">
        <v>52.95</v>
      </c>
      <c r="E294" s="10" t="n">
        <v>20</v>
      </c>
      <c r="F294" s="17" t="n">
        <f aca="false">C294-B294</f>
        <v>2.04999999999998</v>
      </c>
      <c r="G294" s="18" t="n">
        <f aca="false">(B294-B294/(1+E294/100)+D294)/B294</f>
        <v>0.528891321202171</v>
      </c>
      <c r="H294" s="18" t="n">
        <f aca="false">(C294-C294/(1+E294/100)+D294)/C294</f>
        <v>0.52388180530257</v>
      </c>
    </row>
    <row r="295" customFormat="false" ht="15" hidden="false" customHeight="false" outlineLevel="0" collapsed="false">
      <c r="A295" s="15" t="n">
        <v>45152</v>
      </c>
      <c r="B295" s="16" t="n">
        <v>147.77</v>
      </c>
      <c r="C295" s="16" t="n">
        <v>150.37</v>
      </c>
      <c r="D295" s="16" t="n">
        <v>52.95</v>
      </c>
      <c r="E295" s="10" t="n">
        <v>20</v>
      </c>
      <c r="F295" s="17" t="n">
        <f aca="false">C295-B295</f>
        <v>2.59999999999999</v>
      </c>
      <c r="G295" s="18" t="n">
        <f aca="false">(B295-B295/(1+E295/100)+D295)/B295</f>
        <v>0.52499379666599</v>
      </c>
      <c r="H295" s="18" t="n">
        <f aca="false">(C295-C295/(1+E295/100)+D295)/C295</f>
        <v>0.51879807585733</v>
      </c>
    </row>
    <row r="296" customFormat="false" ht="15" hidden="false" customHeight="false" outlineLevel="0" collapsed="false">
      <c r="A296" s="15" t="n">
        <v>45159</v>
      </c>
      <c r="B296" s="16" t="n">
        <v>149.4</v>
      </c>
      <c r="C296" s="16" t="n">
        <v>152.14</v>
      </c>
      <c r="D296" s="16" t="n">
        <v>52.95</v>
      </c>
      <c r="E296" s="10" t="n">
        <v>20</v>
      </c>
      <c r="F296" s="17" t="n">
        <f aca="false">C296-B296</f>
        <v>2.73999999999998</v>
      </c>
      <c r="G296" s="18" t="n">
        <f aca="false">(B296-B296/(1+E296/100)+D296)/B296</f>
        <v>0.521084337349398</v>
      </c>
      <c r="H296" s="18" t="n">
        <f aca="false">(C296-C296/(1+E296/100)+D296)/C296</f>
        <v>0.514701371543754</v>
      </c>
    </row>
    <row r="297" customFormat="false" ht="15" hidden="false" customHeight="false" outlineLevel="0" collapsed="false">
      <c r="A297" s="15" t="n">
        <v>45166</v>
      </c>
      <c r="B297" s="16" t="n">
        <v>150.73</v>
      </c>
      <c r="C297" s="16" t="n">
        <v>153.52</v>
      </c>
      <c r="D297" s="16" t="n">
        <v>52.95</v>
      </c>
      <c r="E297" s="10" t="n">
        <v>20</v>
      </c>
      <c r="F297" s="17" t="n">
        <f aca="false">C297-B297</f>
        <v>2.79000000000002</v>
      </c>
      <c r="G297" s="18" t="n">
        <f aca="false">(B297-B297/(1+E297/100)+D297)/B297</f>
        <v>0.517957053450983</v>
      </c>
      <c r="H297" s="18" t="n">
        <f aca="false">(C297-C297/(1+E297/100)+D297)/C297</f>
        <v>0.511572867813097</v>
      </c>
    </row>
    <row r="298" customFormat="false" ht="15" hidden="false" customHeight="false" outlineLevel="0" collapsed="false">
      <c r="A298" s="15" t="n">
        <v>45173</v>
      </c>
      <c r="B298" s="16" t="n">
        <v>151.71</v>
      </c>
      <c r="C298" s="16" t="n">
        <v>154.65</v>
      </c>
      <c r="D298" s="16" t="n">
        <v>52.95</v>
      </c>
      <c r="E298" s="10" t="n">
        <v>20</v>
      </c>
      <c r="F298" s="17" t="n">
        <f aca="false">C298-B298</f>
        <v>2.94</v>
      </c>
      <c r="G298" s="18" t="n">
        <f aca="false">(B298-B298/(1+E298/100)+D298)/B298</f>
        <v>0.515687825456463</v>
      </c>
      <c r="H298" s="18" t="n">
        <f aca="false">(C298-C298/(1+E298/100)+D298)/C298</f>
        <v>0.509052699644358</v>
      </c>
    </row>
    <row r="299" customFormat="false" ht="15" hidden="false" customHeight="false" outlineLevel="0" collapsed="false">
      <c r="A299" s="15" t="n">
        <v>45180</v>
      </c>
      <c r="B299" s="16" t="n">
        <v>153.1</v>
      </c>
      <c r="C299" s="16" t="n">
        <v>156.15</v>
      </c>
      <c r="D299" s="16" t="n">
        <v>52.95</v>
      </c>
      <c r="E299" s="10" t="n">
        <v>20</v>
      </c>
      <c r="F299" s="17" t="n">
        <f aca="false">C299-B299</f>
        <v>3.05000000000001</v>
      </c>
      <c r="G299" s="18" t="n">
        <f aca="false">(B299-B299/(1+E299/100)+D299)/B299</f>
        <v>0.512519050729371</v>
      </c>
      <c r="H299" s="18" t="n">
        <f aca="false">(C299-C299/(1+E299/100)+D299)/C299</f>
        <v>0.505763688760807</v>
      </c>
    </row>
    <row r="300" customFormat="false" ht="15" hidden="false" customHeight="false" outlineLevel="0" collapsed="false">
      <c r="A300" s="15" t="n">
        <v>45187</v>
      </c>
      <c r="B300" s="16" t="n">
        <v>154.06</v>
      </c>
      <c r="C300" s="16" t="n">
        <v>158.16</v>
      </c>
      <c r="D300" s="16" t="n">
        <v>52.95</v>
      </c>
      <c r="E300" s="10" t="n">
        <v>20</v>
      </c>
      <c r="F300" s="17" t="n">
        <f aca="false">C300-B300</f>
        <v>4.09999999999999</v>
      </c>
      <c r="G300" s="18" t="n">
        <f aca="false">(B300-B300/(1+E300/100)+D300)/B300</f>
        <v>0.510363927474144</v>
      </c>
      <c r="H300" s="18" t="n">
        <f aca="false">(C300-C300/(1+E300/100)+D300)/C300</f>
        <v>0.501454223571067</v>
      </c>
    </row>
    <row r="301" customFormat="false" ht="15" hidden="false" customHeight="false" outlineLevel="0" collapsed="false">
      <c r="A301" s="15" t="n">
        <v>45194</v>
      </c>
      <c r="B301" s="16" t="n">
        <v>155.41</v>
      </c>
      <c r="C301" s="16" t="n">
        <v>160.61</v>
      </c>
      <c r="D301" s="16" t="n">
        <v>52.95</v>
      </c>
      <c r="E301" s="10" t="n">
        <v>20</v>
      </c>
      <c r="F301" s="17" t="n">
        <f aca="false">C301-B301</f>
        <v>5.20000000000002</v>
      </c>
      <c r="G301" s="18" t="n">
        <f aca="false">(B301-B301/(1+E301/100)+D301)/B301</f>
        <v>0.507378332582631</v>
      </c>
      <c r="H301" s="18" t="n">
        <f aca="false">(C301-C301/(1+E301/100)+D301)/C301</f>
        <v>0.496347259406845</v>
      </c>
    </row>
    <row r="302" customFormat="false" ht="15" hidden="false" customHeight="false" outlineLevel="0" collapsed="false">
      <c r="A302" s="15" t="n">
        <v>45201</v>
      </c>
      <c r="B302" s="16" t="n">
        <v>156.02</v>
      </c>
      <c r="C302" s="16" t="n">
        <v>162.15</v>
      </c>
      <c r="D302" s="16" t="n">
        <v>52.95</v>
      </c>
      <c r="E302" s="10" t="n">
        <v>20</v>
      </c>
      <c r="F302" s="17" t="n">
        <f aca="false">C302-B302</f>
        <v>6.13</v>
      </c>
      <c r="G302" s="18" t="n">
        <f aca="false">(B302-B302/(1+E302/100)+D302)/B302</f>
        <v>0.506046233388882</v>
      </c>
      <c r="H302" s="18" t="n">
        <f aca="false">(C302-C302/(1+E302/100)+D302)/C302</f>
        <v>0.493216157878508</v>
      </c>
    </row>
    <row r="303" customFormat="false" ht="15" hidden="false" customHeight="false" outlineLevel="0" collapsed="false">
      <c r="A303" s="15" t="n">
        <v>45208</v>
      </c>
      <c r="B303" s="16" t="n">
        <v>155.94</v>
      </c>
      <c r="C303" s="16" t="n">
        <v>162.49</v>
      </c>
      <c r="D303" s="16" t="n">
        <v>52.95</v>
      </c>
      <c r="E303" s="10" t="n">
        <v>20</v>
      </c>
      <c r="F303" s="17" t="n">
        <f aca="false">C303-B303</f>
        <v>6.55000000000001</v>
      </c>
      <c r="G303" s="18" t="n">
        <f aca="false">(B303-B303/(1+E303/100)+D303)/B303</f>
        <v>0.506220341156855</v>
      </c>
      <c r="H303" s="18" t="n">
        <f aca="false">(C303-C303/(1+E303/100)+D303)/C303</f>
        <v>0.492532873817876</v>
      </c>
    </row>
    <row r="304" customFormat="false" ht="15" hidden="false" customHeight="false" outlineLevel="0" collapsed="false">
      <c r="A304" s="15" t="n">
        <v>45215</v>
      </c>
      <c r="B304" s="16" t="n">
        <v>155.09</v>
      </c>
      <c r="C304" s="16" t="n">
        <v>162.31</v>
      </c>
      <c r="D304" s="16" t="n">
        <v>52.95</v>
      </c>
      <c r="E304" s="10" t="n">
        <v>20</v>
      </c>
      <c r="F304" s="17" t="n">
        <f aca="false">C304-B304</f>
        <v>7.22</v>
      </c>
      <c r="G304" s="18" t="n">
        <f aca="false">(B304-B304/(1+E304/100)+D304)/B304</f>
        <v>0.508081329120726</v>
      </c>
      <c r="H304" s="18" t="n">
        <f aca="false">(C304-C304/(1+E304/100)+D304)/C304</f>
        <v>0.492894255847863</v>
      </c>
    </row>
    <row r="305" customFormat="false" ht="15" hidden="false" customHeight="false" outlineLevel="0" collapsed="false">
      <c r="A305" s="15" t="n">
        <v>45222</v>
      </c>
      <c r="B305" s="16" t="n">
        <v>154.63</v>
      </c>
      <c r="C305" s="16" t="n">
        <v>162.19</v>
      </c>
      <c r="D305" s="16" t="n">
        <v>52.95</v>
      </c>
      <c r="E305" s="10" t="n">
        <v>20</v>
      </c>
      <c r="F305" s="17" t="n">
        <f aca="false">C305-B305</f>
        <v>7.56</v>
      </c>
      <c r="G305" s="18" t="n">
        <f aca="false">(B305-B305/(1+E305/100)+D305)/B305</f>
        <v>0.50909698419884</v>
      </c>
      <c r="H305" s="18" t="n">
        <f aca="false">(C305-C305/(1+E305/100)+D305)/C305</f>
        <v>0.493135622829192</v>
      </c>
    </row>
    <row r="306" customFormat="false" ht="15" hidden="false" customHeight="false" outlineLevel="0" collapsed="false">
      <c r="A306" s="15" t="n">
        <v>45229</v>
      </c>
      <c r="B306" s="16" t="n">
        <v>153.97</v>
      </c>
      <c r="C306" s="16" t="n">
        <v>161.76</v>
      </c>
      <c r="D306" s="16" t="n">
        <v>52.95</v>
      </c>
      <c r="E306" s="10" t="n">
        <v>20</v>
      </c>
      <c r="F306" s="17" t="n">
        <f aca="false">C306-B306</f>
        <v>7.78999999999999</v>
      </c>
      <c r="G306" s="18" t="n">
        <f aca="false">(B306-B306/(1+E306/100)+D306)/B306</f>
        <v>0.510564828646273</v>
      </c>
      <c r="H306" s="18" t="n">
        <f aca="false">(C306-C306/(1+E306/100)+D306)/C306</f>
        <v>0.494003461918892</v>
      </c>
    </row>
    <row r="307" customFormat="false" ht="15" hidden="false" customHeight="false" outlineLevel="0" collapsed="false">
      <c r="A307" s="15" t="n">
        <v>45236</v>
      </c>
      <c r="B307" s="16" t="n">
        <v>153.2</v>
      </c>
      <c r="C307" s="16" t="n">
        <v>160.86</v>
      </c>
      <c r="D307" s="16" t="n">
        <v>52.95</v>
      </c>
      <c r="E307" s="10" t="n">
        <v>20</v>
      </c>
      <c r="F307" s="17" t="n">
        <f aca="false">C307-B307</f>
        <v>7.66000000000003</v>
      </c>
      <c r="G307" s="18" t="n">
        <f aca="false">(B307-B307/(1+E307/100)+D307)/B307</f>
        <v>0.512293298520453</v>
      </c>
      <c r="H307" s="18" t="n">
        <f aca="false">(C307-C307/(1+E307/100)+D307)/C307</f>
        <v>0.495834887479796</v>
      </c>
    </row>
    <row r="308" customFormat="false" ht="15" hidden="false" customHeight="false" outlineLevel="0" collapsed="false">
      <c r="A308" s="15" t="n">
        <v>45243</v>
      </c>
      <c r="B308" s="16" t="n">
        <v>152.39</v>
      </c>
      <c r="C308" s="16" t="n">
        <v>160.39</v>
      </c>
      <c r="D308" s="16" t="n">
        <v>52.95</v>
      </c>
      <c r="E308" s="10" t="n">
        <v>20</v>
      </c>
      <c r="F308" s="17" t="n">
        <f aca="false">C308-B308</f>
        <v>8</v>
      </c>
      <c r="G308" s="18" t="n">
        <f aca="false">(B308-B308/(1+E308/100)+D308)/B308</f>
        <v>0.514130411006847</v>
      </c>
      <c r="H308" s="18" t="n">
        <f aca="false">(C308-C308/(1+E308/100)+D308)/C308</f>
        <v>0.496799467963506</v>
      </c>
    </row>
    <row r="309" customFormat="false" ht="15" hidden="false" customHeight="false" outlineLevel="0" collapsed="false">
      <c r="A309" s="15" t="n">
        <v>45250</v>
      </c>
      <c r="B309" s="16" t="n">
        <v>150.5</v>
      </c>
      <c r="C309" s="16" t="n">
        <v>158.44</v>
      </c>
      <c r="D309" s="16" t="n">
        <v>52.95</v>
      </c>
      <c r="E309" s="10" t="n">
        <v>20</v>
      </c>
      <c r="F309" s="17" t="n">
        <f aca="false">C309-B309</f>
        <v>7.94</v>
      </c>
      <c r="G309" s="18" t="n">
        <f aca="false">(B309-B309/(1+E309/100)+D309)/B309</f>
        <v>0.518493909191584</v>
      </c>
      <c r="H309" s="18" t="n">
        <f aca="false">(C309-C309/(1+E309/100)+D309)/C309</f>
        <v>0.500862576790373</v>
      </c>
    </row>
    <row r="310" customFormat="false" ht="15" hidden="false" customHeight="false" outlineLevel="0" collapsed="false">
      <c r="A310" s="15" t="n">
        <v>45257</v>
      </c>
      <c r="B310" s="16" t="n">
        <v>147.99</v>
      </c>
      <c r="C310" s="16" t="n">
        <v>156.18</v>
      </c>
      <c r="D310" s="16" t="n">
        <v>52.95</v>
      </c>
      <c r="E310" s="10" t="n">
        <v>20</v>
      </c>
      <c r="F310" s="17" t="n">
        <f aca="false">C310-B310</f>
        <v>8.19</v>
      </c>
      <c r="G310" s="18" t="n">
        <f aca="false">(B310-B310/(1+E310/100)+D310)/B310</f>
        <v>0.524461112237313</v>
      </c>
      <c r="H310" s="18" t="n">
        <f aca="false">(C310-C310/(1+E310/100)+D310)/C310</f>
        <v>0.505698552951722</v>
      </c>
    </row>
    <row r="311" customFormat="false" ht="15" hidden="false" customHeight="false" outlineLevel="0" collapsed="false">
      <c r="A311" s="15" t="n">
        <v>45264</v>
      </c>
      <c r="B311" s="16" t="n">
        <v>145.71</v>
      </c>
      <c r="C311" s="16" t="n">
        <v>154.1</v>
      </c>
      <c r="D311" s="16" t="n">
        <v>52.95</v>
      </c>
      <c r="E311" s="10" t="n">
        <v>20</v>
      </c>
      <c r="F311" s="17" t="n">
        <f aca="false">C311-B311</f>
        <v>8.38999999999999</v>
      </c>
      <c r="G311" s="18" t="n">
        <f aca="false">(B311-B311/(1+E311/100)+D311)/B311</f>
        <v>0.53005970763846</v>
      </c>
      <c r="H311" s="18" t="n">
        <f aca="false">(C311-C311/(1+E311/100)+D311)/C311</f>
        <v>0.510274713389574</v>
      </c>
    </row>
    <row r="312" customFormat="false" ht="15" hidden="false" customHeight="false" outlineLevel="0" collapsed="false">
      <c r="A312" s="15" t="n">
        <v>45271</v>
      </c>
      <c r="B312" s="16" t="n">
        <v>143.8</v>
      </c>
      <c r="C312" s="16" t="n">
        <v>152.01</v>
      </c>
      <c r="D312" s="16" t="n">
        <v>52.95</v>
      </c>
      <c r="E312" s="10" t="n">
        <v>20</v>
      </c>
      <c r="F312" s="17" t="n">
        <f aca="false">C312-B312</f>
        <v>8.20999999999998</v>
      </c>
      <c r="G312" s="18" t="n">
        <f aca="false">(B312-B312/(1+E312/100)+D312)/B312</f>
        <v>0.534886416318962</v>
      </c>
      <c r="H312" s="18" t="n">
        <f aca="false">(C312-C312/(1+E312/100)+D312)/C312</f>
        <v>0.514999013222814</v>
      </c>
    </row>
    <row r="313" customFormat="false" ht="15" hidden="false" customHeight="false" outlineLevel="0" collapsed="false">
      <c r="A313" s="15" t="n">
        <v>45278</v>
      </c>
      <c r="B313" s="16" t="n">
        <v>141.51</v>
      </c>
      <c r="C313" s="16" t="n">
        <v>150.38</v>
      </c>
      <c r="D313" s="16" t="n">
        <v>52.95</v>
      </c>
      <c r="E313" s="10" t="n">
        <v>20</v>
      </c>
      <c r="F313" s="17" t="n">
        <f aca="false">C313-B313</f>
        <v>8.87000000000001</v>
      </c>
      <c r="G313" s="18" t="n">
        <f aca="false">(B313-B313/(1+E313/100)+D313)/B313</f>
        <v>0.540845169952654</v>
      </c>
      <c r="H313" s="18" t="n">
        <f aca="false">(C313-C313/(1+E313/100)+D313)/C313</f>
        <v>0.518774659750854</v>
      </c>
    </row>
    <row r="314" customFormat="false" ht="15" hidden="false" customHeight="false" outlineLevel="0" collapsed="false">
      <c r="A314" s="15" t="n">
        <v>45285</v>
      </c>
      <c r="B314" s="16" t="n">
        <v>140.33</v>
      </c>
      <c r="C314" s="16" t="n">
        <v>149.24</v>
      </c>
      <c r="D314" s="16" t="n">
        <v>52.95</v>
      </c>
      <c r="E314" s="10" t="n">
        <v>20</v>
      </c>
      <c r="F314" s="17" t="n">
        <f aca="false">C314-B314</f>
        <v>8.91</v>
      </c>
      <c r="G314" s="18" t="n">
        <f aca="false">(B314-B314/(1+E314/100)+D314)/B314</f>
        <v>0.543991543742132</v>
      </c>
      <c r="H314" s="18" t="n">
        <f aca="false">(C314-C314/(1+E314/100)+D314)/C314</f>
        <v>0.521464308049674</v>
      </c>
    </row>
    <row r="315" customFormat="false" ht="15" hidden="false" customHeight="false" outlineLevel="0" collapsed="false">
      <c r="A315" s="15" t="n">
        <v>45292</v>
      </c>
      <c r="B315" s="16" t="n">
        <v>140.78</v>
      </c>
      <c r="C315" s="16" t="n">
        <v>148.66</v>
      </c>
      <c r="D315" s="16" t="n">
        <v>52.95</v>
      </c>
      <c r="E315" s="10" t="n">
        <v>20</v>
      </c>
      <c r="F315" s="17" t="n">
        <f aca="false">C315-B315</f>
        <v>7.88</v>
      </c>
      <c r="G315" s="18" t="n">
        <f aca="false">(B315-B315/(1+E315/100)+D315)/B315</f>
        <v>0.542785433536961</v>
      </c>
      <c r="H315" s="18" t="n">
        <f aca="false">(C315-C315/(1+E315/100)+D315)/C315</f>
        <v>0.522848558231311</v>
      </c>
    </row>
    <row r="316" customFormat="false" ht="15" hidden="false" customHeight="false" outlineLevel="0" collapsed="false">
      <c r="A316" s="15" t="n">
        <v>45299</v>
      </c>
      <c r="B316" s="16" t="n">
        <v>139.72</v>
      </c>
      <c r="C316" s="16" t="n">
        <v>148.21</v>
      </c>
      <c r="D316" s="16" t="n">
        <v>52.95</v>
      </c>
      <c r="E316" s="10" t="n">
        <v>20</v>
      </c>
      <c r="F316" s="17" t="n">
        <f aca="false">C316-B316</f>
        <v>8.49000000000001</v>
      </c>
      <c r="G316" s="18" t="n">
        <f aca="false">(B316-B316/(1+E316/100)+D316)/B316</f>
        <v>0.545638896841302</v>
      </c>
      <c r="H316" s="18" t="n">
        <f aca="false">(C316-C316/(1+E316/100)+D316)/C316</f>
        <v>0.52393000922115</v>
      </c>
    </row>
    <row r="317" customFormat="false" ht="15" hidden="false" customHeight="false" outlineLevel="0" collapsed="false">
      <c r="A317" s="15" t="n">
        <v>45306</v>
      </c>
      <c r="B317" s="16" t="n">
        <v>139.49</v>
      </c>
      <c r="C317" s="16" t="n">
        <v>147.93</v>
      </c>
      <c r="D317" s="16" t="n">
        <v>52.95</v>
      </c>
      <c r="E317" s="10" t="n">
        <v>20</v>
      </c>
      <c r="F317" s="17" t="n">
        <f aca="false">C317-B317</f>
        <v>8.44</v>
      </c>
      <c r="G317" s="18" t="n">
        <f aca="false">(B317-B317/(1+E317/100)+D317)/B317</f>
        <v>0.546263770401702</v>
      </c>
      <c r="H317" s="18" t="n">
        <f aca="false">(C317-C317/(1+E317/100)+D317)/C317</f>
        <v>0.524606232677618</v>
      </c>
    </row>
    <row r="318" customFormat="false" ht="15" hidden="false" customHeight="false" outlineLevel="0" collapsed="false">
      <c r="A318" s="15" t="n">
        <v>45313</v>
      </c>
      <c r="B318" s="16" t="n">
        <v>139.39</v>
      </c>
      <c r="C318" s="16" t="n">
        <v>147.96</v>
      </c>
      <c r="D318" s="16" t="n">
        <v>52.95</v>
      </c>
      <c r="E318" s="10" t="n">
        <v>20</v>
      </c>
      <c r="F318" s="17" t="n">
        <f aca="false">C318-B318</f>
        <v>8.57000000000002</v>
      </c>
      <c r="G318" s="18" t="n">
        <f aca="false">(B318-B318/(1+E318/100)+D318)/B318</f>
        <v>0.546536097759285</v>
      </c>
      <c r="H318" s="18" t="n">
        <f aca="false">(C318-C318/(1+E318/100)+D318)/C318</f>
        <v>0.524533657745337</v>
      </c>
    </row>
    <row r="319" customFormat="false" ht="15" hidden="false" customHeight="false" outlineLevel="0" collapsed="false">
      <c r="A319" s="15" t="n">
        <v>45320</v>
      </c>
      <c r="B319" s="16" t="n">
        <v>139.91</v>
      </c>
      <c r="C319" s="16" t="n">
        <v>148.56</v>
      </c>
      <c r="D319" s="16" t="n">
        <v>52.95</v>
      </c>
      <c r="E319" s="10" t="n">
        <v>20</v>
      </c>
      <c r="F319" s="17" t="n">
        <f aca="false">C319-B319</f>
        <v>8.65000000000001</v>
      </c>
      <c r="G319" s="18" t="n">
        <f aca="false">(B319-B319/(1+E319/100)+D319)/B319</f>
        <v>0.545124246539442</v>
      </c>
      <c r="H319" s="18" t="n">
        <f aca="false">(C319-C319/(1+E319/100)+D319)/C319</f>
        <v>0.52308831448573</v>
      </c>
    </row>
    <row r="320" customFormat="false" ht="15" hidden="false" customHeight="false" outlineLevel="0" collapsed="false">
      <c r="A320" s="15" t="n">
        <v>45327</v>
      </c>
      <c r="B320" s="16" t="n">
        <v>140.55</v>
      </c>
      <c r="C320" s="16" t="n">
        <v>149.35</v>
      </c>
      <c r="D320" s="16" t="n">
        <v>52.95</v>
      </c>
      <c r="E320" s="10" t="n">
        <v>20</v>
      </c>
      <c r="F320" s="17" t="n">
        <f aca="false">C320-B320</f>
        <v>8.79999999999998</v>
      </c>
      <c r="G320" s="18" t="n">
        <f aca="false">(B320-B320/(1+E320/100)+D320)/B320</f>
        <v>0.543400924937745</v>
      </c>
      <c r="H320" s="18" t="n">
        <f aca="false">(C320-C320/(1+E320/100)+D320)/C320</f>
        <v>0.521202990737641</v>
      </c>
    </row>
    <row r="321" customFormat="false" ht="15" hidden="false" customHeight="false" outlineLevel="0" collapsed="false">
      <c r="A321" s="15" t="n">
        <v>45334</v>
      </c>
      <c r="B321" s="16" t="n">
        <v>141.28</v>
      </c>
      <c r="C321" s="16" t="n">
        <v>150.28</v>
      </c>
      <c r="D321" s="16" t="n">
        <v>52.95</v>
      </c>
      <c r="E321" s="10" t="n">
        <v>20</v>
      </c>
      <c r="F321" s="17" t="n">
        <f aca="false">C321-B321</f>
        <v>9</v>
      </c>
      <c r="G321" s="18" t="n">
        <f aca="false">(B321-B321/(1+E321/100)+D321)/B321</f>
        <v>0.541454322385806</v>
      </c>
      <c r="H321" s="18" t="n">
        <f aca="false">(C321-C321/(1+E321/100)+D321)/C321</f>
        <v>0.519008961050484</v>
      </c>
    </row>
    <row r="322" customFormat="false" ht="15" hidden="false" customHeight="false" outlineLevel="0" collapsed="false">
      <c r="A322" s="15" t="n">
        <v>45341</v>
      </c>
      <c r="B322" s="16" t="n">
        <v>142.86</v>
      </c>
      <c r="C322" s="16" t="n">
        <v>152.08</v>
      </c>
      <c r="D322" s="16" t="n">
        <v>52.95</v>
      </c>
      <c r="E322" s="10" t="n">
        <v>20</v>
      </c>
      <c r="F322" s="17" t="n">
        <f aca="false">C322-B322</f>
        <v>9.22</v>
      </c>
      <c r="G322" s="18" t="n">
        <f aca="false">(B322-B322/(1+E322/100)+D322)/B322</f>
        <v>0.537309253814924</v>
      </c>
      <c r="H322" s="18" t="n">
        <f aca="false">(C322-C322/(1+E322/100)+D322)/C322</f>
        <v>0.514838681395757</v>
      </c>
    </row>
    <row r="323" customFormat="false" ht="15" hidden="false" customHeight="false" outlineLevel="0" collapsed="false">
      <c r="A323" s="15" t="n">
        <v>45348</v>
      </c>
      <c r="B323" s="16" t="n">
        <v>143.96</v>
      </c>
      <c r="C323" s="16" t="n">
        <v>153.29</v>
      </c>
      <c r="D323" s="16" t="n">
        <v>52.95</v>
      </c>
      <c r="E323" s="10" t="n">
        <v>20</v>
      </c>
      <c r="F323" s="17" t="n">
        <f aca="false">C323-B323</f>
        <v>9.32999999999998</v>
      </c>
      <c r="G323" s="18" t="n">
        <f aca="false">(B323-B323/(1+E323/100)+D323)/B323</f>
        <v>0.534477169584144</v>
      </c>
      <c r="H323" s="18" t="n">
        <f aca="false">(C323-C323/(1+E323/100)+D323)/C323</f>
        <v>0.512090373366386</v>
      </c>
    </row>
    <row r="324" customFormat="false" ht="15" hidden="false" customHeight="false" outlineLevel="0" collapsed="false">
      <c r="A324" s="15" t="n">
        <v>45355</v>
      </c>
      <c r="B324" s="16" t="n">
        <v>144.73</v>
      </c>
      <c r="C324" s="16" t="n">
        <v>154.53</v>
      </c>
      <c r="D324" s="16" t="n">
        <v>52.95</v>
      </c>
      <c r="E324" s="10" t="n">
        <v>20</v>
      </c>
      <c r="F324" s="17" t="n">
        <f aca="false">C324-B324</f>
        <v>9.80000000000001</v>
      </c>
      <c r="G324" s="18" t="n">
        <f aca="false">(B324-B324/(1+E324/100)+D324)/B324</f>
        <v>0.532520325203252</v>
      </c>
      <c r="H324" s="18" t="n">
        <f aca="false">(C324-C324/(1+E324/100)+D324)/C324</f>
        <v>0.509318578916715</v>
      </c>
    </row>
    <row r="325" customFormat="false" ht="15" hidden="false" customHeight="false" outlineLevel="0" collapsed="false">
      <c r="A325" s="15" t="n">
        <v>45362</v>
      </c>
      <c r="B325" s="16" t="n">
        <v>144.7</v>
      </c>
      <c r="C325" s="16" t="n">
        <v>154.29</v>
      </c>
      <c r="D325" s="16" t="n">
        <v>52.95</v>
      </c>
      <c r="E325" s="10" t="n">
        <v>20</v>
      </c>
      <c r="F325" s="17" t="n">
        <f aca="false">C325-B325</f>
        <v>9.59</v>
      </c>
      <c r="G325" s="18" t="n">
        <f aca="false">(B325-B325/(1+E325/100)+D325)/B325</f>
        <v>0.532596175996314</v>
      </c>
      <c r="H325" s="18" t="n">
        <f aca="false">(C325-C325/(1+E325/100)+D325)/C325</f>
        <v>0.509851578196902</v>
      </c>
    </row>
    <row r="326" customFormat="false" ht="15" hidden="false" customHeight="false" outlineLevel="0" collapsed="false">
      <c r="A326" s="15" t="n">
        <v>45369</v>
      </c>
      <c r="B326" s="16" t="n">
        <v>144.73</v>
      </c>
      <c r="C326" s="16" t="n">
        <v>153.81</v>
      </c>
      <c r="D326" s="16" t="n">
        <v>52.95</v>
      </c>
      <c r="E326" s="10" t="n">
        <v>20</v>
      </c>
      <c r="F326" s="17" t="n">
        <f aca="false">C326-B326</f>
        <v>9.08000000000001</v>
      </c>
      <c r="G326" s="18" t="n">
        <f aca="false">(B326-B326/(1+E326/100)+D326)/B326</f>
        <v>0.532520325203252</v>
      </c>
      <c r="H326" s="18" t="n">
        <f aca="false">(C326-C326/(1+E326/100)+D326)/C326</f>
        <v>0.510922566803199</v>
      </c>
    </row>
    <row r="327" customFormat="false" ht="15" hidden="false" customHeight="false" outlineLevel="0" collapsed="false">
      <c r="A327" s="15" t="n">
        <v>45376</v>
      </c>
      <c r="B327" s="16" t="n">
        <v>145.06</v>
      </c>
      <c r="C327" s="16" t="n">
        <v>153.9</v>
      </c>
      <c r="D327" s="16" t="n">
        <v>52.95</v>
      </c>
      <c r="E327" s="10" t="n">
        <v>20</v>
      </c>
      <c r="F327" s="17" t="n">
        <f aca="false">C327-B327</f>
        <v>8.84</v>
      </c>
      <c r="G327" s="18" t="n">
        <f aca="false">(B327-B327/(1+E327/100)+D327)/B327</f>
        <v>0.531688037134059</v>
      </c>
      <c r="H327" s="18" t="n">
        <f aca="false">(C327-C327/(1+E327/100)+D327)/C327</f>
        <v>0.510721247563353</v>
      </c>
    </row>
    <row r="328" customFormat="false" ht="15" hidden="false" customHeight="false" outlineLevel="0" collapsed="false">
      <c r="A328" s="15" t="n">
        <v>45383</v>
      </c>
      <c r="B328" s="16" t="n">
        <v>146.25</v>
      </c>
      <c r="C328" s="16" t="n">
        <v>156</v>
      </c>
      <c r="D328" s="16" t="n">
        <v>52.95</v>
      </c>
      <c r="E328" s="10" t="n">
        <v>20</v>
      </c>
      <c r="F328" s="17" t="n">
        <f aca="false">C328-B328</f>
        <v>9.75</v>
      </c>
      <c r="G328" s="18" t="n">
        <f aca="false">(B328-B328/(1+E328/100)+D328)/B328</f>
        <v>0.528717948717949</v>
      </c>
      <c r="H328" s="18" t="n">
        <f aca="false">(C328-C328/(1+E328/100)+D328)/C328</f>
        <v>0.506089743589744</v>
      </c>
    </row>
    <row r="329" customFormat="false" ht="15" hidden="false" customHeight="false" outlineLevel="0" collapsed="false">
      <c r="A329" s="15" t="n">
        <v>45390</v>
      </c>
      <c r="B329" s="16" t="n">
        <v>146.91</v>
      </c>
      <c r="C329" s="16" t="n">
        <v>156.29</v>
      </c>
      <c r="D329" s="16" t="n">
        <v>52.95</v>
      </c>
      <c r="E329" s="10" t="n">
        <v>20</v>
      </c>
      <c r="F329" s="17" t="n">
        <f aca="false">C329-B329</f>
        <v>9.38</v>
      </c>
      <c r="G329" s="18" t="n">
        <f aca="false">(B329-B329/(1+E329/100)+D329)/B329</f>
        <v>0.527091416513512</v>
      </c>
      <c r="H329" s="18" t="n">
        <f aca="false">(C329-C329/(1+E329/100)+D329)/C329</f>
        <v>0.505459935589822</v>
      </c>
    </row>
    <row r="330" customFormat="false" ht="15" hidden="false" customHeight="false" outlineLevel="0" collapsed="false">
      <c r="A330" s="15" t="n">
        <v>45397</v>
      </c>
      <c r="B330" s="16" t="n">
        <v>148.49</v>
      </c>
      <c r="C330" s="16" t="n">
        <v>157.46</v>
      </c>
      <c r="D330" s="16" t="n">
        <v>52.95</v>
      </c>
      <c r="E330" s="10" t="n">
        <v>20</v>
      </c>
      <c r="F330" s="17" t="n">
        <f aca="false">C330-B330</f>
        <v>8.97</v>
      </c>
      <c r="G330" s="18" t="n">
        <f aca="false">(B330-B330/(1+E330/100)+D330)/B330</f>
        <v>0.523256336004669</v>
      </c>
      <c r="H330" s="18" t="n">
        <f aca="false">(C330-C330/(1+E330/100)+D330)/C330</f>
        <v>0.502942546255134</v>
      </c>
    </row>
    <row r="331" customFormat="false" ht="15" hidden="false" customHeight="false" outlineLevel="0" collapsed="false">
      <c r="A331" s="15" t="n">
        <v>45404</v>
      </c>
      <c r="B331" s="16" t="n">
        <v>149.21</v>
      </c>
      <c r="C331" s="16" t="n">
        <v>157.98</v>
      </c>
      <c r="D331" s="16" t="n">
        <v>52.95</v>
      </c>
      <c r="E331" s="10" t="n">
        <v>20</v>
      </c>
      <c r="F331" s="17" t="n">
        <f aca="false">C331-B331</f>
        <v>8.76999999999998</v>
      </c>
      <c r="G331" s="18" t="n">
        <f aca="false">(B331-B331/(1+E331/100)+D331)/B331</f>
        <v>0.521535643276813</v>
      </c>
      <c r="H331" s="18" t="n">
        <f aca="false">(C331-C331/(1+E331/100)+D331)/C331</f>
        <v>0.50183567540195</v>
      </c>
    </row>
    <row r="332" customFormat="false" ht="15" hidden="false" customHeight="false" outlineLevel="0" collapsed="false">
      <c r="A332" s="15" t="n">
        <v>45411</v>
      </c>
      <c r="B332" s="16" t="n">
        <v>149.49</v>
      </c>
      <c r="C332" s="16" t="n">
        <v>157.98</v>
      </c>
      <c r="D332" s="16" t="n">
        <v>52.95</v>
      </c>
      <c r="E332" s="10" t="n">
        <v>20</v>
      </c>
      <c r="F332" s="17" t="n">
        <f aca="false">C332-B332</f>
        <v>8.48999999999998</v>
      </c>
      <c r="G332" s="18" t="n">
        <f aca="false">(B332-B332/(1+E332/100)+D332)/B332</f>
        <v>0.520870961268312</v>
      </c>
      <c r="H332" s="18" t="n">
        <f aca="false">(C332-C332/(1+E332/100)+D332)/C332</f>
        <v>0.50183567540195</v>
      </c>
    </row>
    <row r="333" customFormat="false" ht="15" hidden="false" customHeight="false" outlineLevel="0" collapsed="false">
      <c r="A333" s="15" t="n">
        <v>45418</v>
      </c>
      <c r="B333" s="16" t="n">
        <v>149.54</v>
      </c>
      <c r="C333" s="16" t="n">
        <v>157.64</v>
      </c>
      <c r="D333" s="16" t="n">
        <v>52.95</v>
      </c>
      <c r="E333" s="10" t="n">
        <v>20</v>
      </c>
      <c r="F333" s="17" t="n">
        <f aca="false">C333-B333</f>
        <v>8.09999999999999</v>
      </c>
      <c r="G333" s="18" t="n">
        <f aca="false">(B333-B333/(1+E333/100)+D333)/B333</f>
        <v>0.52075252998083</v>
      </c>
      <c r="H333" s="18" t="n">
        <f aca="false">(C333-C333/(1+E333/100)+D333)/C333</f>
        <v>0.50255857227438</v>
      </c>
    </row>
    <row r="334" customFormat="false" ht="15" hidden="false" customHeight="false" outlineLevel="0" collapsed="false">
      <c r="A334" s="15" t="n">
        <v>45425</v>
      </c>
      <c r="B334" s="16" t="n">
        <v>149.23</v>
      </c>
      <c r="C334" s="16" t="n">
        <v>157.08</v>
      </c>
      <c r="D334" s="16" t="n">
        <v>52.95</v>
      </c>
      <c r="E334" s="10" t="n">
        <v>20</v>
      </c>
      <c r="F334" s="17" t="n">
        <f aca="false">C334-B334</f>
        <v>7.85000000000002</v>
      </c>
      <c r="G334" s="18" t="n">
        <f aca="false">(B334-B334/(1+E334/100)+D334)/B334</f>
        <v>0.521488083271907</v>
      </c>
      <c r="H334" s="18" t="n">
        <f aca="false">(C334-C334/(1+E334/100)+D334)/C334</f>
        <v>0.503756047873695</v>
      </c>
    </row>
    <row r="335" customFormat="false" ht="15" hidden="false" customHeight="false" outlineLevel="0" collapsed="false">
      <c r="A335" s="15" t="n">
        <v>45432</v>
      </c>
      <c r="B335" s="16" t="n">
        <v>148.83</v>
      </c>
      <c r="C335" s="16" t="n">
        <v>156.21</v>
      </c>
      <c r="D335" s="16" t="n">
        <v>52.95</v>
      </c>
      <c r="E335" s="10" t="n">
        <v>20</v>
      </c>
      <c r="F335" s="17" t="n">
        <f aca="false">C335-B335</f>
        <v>7.38</v>
      </c>
      <c r="G335" s="18" t="n">
        <f aca="false">(B335-B335/(1+E335/100)+D335)/B335</f>
        <v>0.522441712020426</v>
      </c>
      <c r="H335" s="18" t="n">
        <f aca="false">(C335-C335/(1+E335/100)+D335)/C335</f>
        <v>0.505633442161193</v>
      </c>
    </row>
    <row r="336" customFormat="false" ht="15" hidden="false" customHeight="false" outlineLevel="0" collapsed="false">
      <c r="A336" s="15" t="n">
        <v>45439</v>
      </c>
      <c r="B336" s="16" t="n">
        <v>147.65</v>
      </c>
      <c r="C336" s="16" t="n">
        <v>154.3</v>
      </c>
      <c r="D336" s="16" t="n">
        <v>52.95</v>
      </c>
      <c r="E336" s="10" t="n">
        <v>20</v>
      </c>
      <c r="F336" s="17" t="n">
        <f aca="false">C336-B336</f>
        <v>6.65000000000001</v>
      </c>
      <c r="G336" s="18" t="n">
        <f aca="false">(B336-B336/(1+E336/100)+D336)/B336</f>
        <v>0.525285020882718</v>
      </c>
      <c r="H336" s="18" t="n">
        <f aca="false">(C336-C336/(1+E336/100)+D336)/C336</f>
        <v>0.509829336789803</v>
      </c>
    </row>
    <row r="337" customFormat="false" ht="15" hidden="false" customHeight="false" outlineLevel="0" collapsed="false">
      <c r="A337" s="15" t="n">
        <v>45446</v>
      </c>
      <c r="B337" s="16" t="n">
        <v>147.27</v>
      </c>
      <c r="C337" s="16" t="n">
        <v>153.26</v>
      </c>
      <c r="D337" s="16" t="n">
        <v>52.95</v>
      </c>
      <c r="E337" s="10" t="n">
        <v>20</v>
      </c>
      <c r="F337" s="17" t="n">
        <f aca="false">C337-B337</f>
        <v>5.98999999999998</v>
      </c>
      <c r="G337" s="18" t="n">
        <f aca="false">(B337-B337/(1+E337/100)+D337)/B337</f>
        <v>0.526210361920283</v>
      </c>
      <c r="H337" s="18" t="n">
        <f aca="false">(C337-C337/(1+E337/100)+D337)/C337</f>
        <v>0.512157988603245</v>
      </c>
    </row>
    <row r="338" customFormat="false" ht="15" hidden="false" customHeight="false" outlineLevel="0" collapsed="false">
      <c r="A338" s="15" t="n">
        <v>45453</v>
      </c>
      <c r="B338" s="16" t="n">
        <v>146.25</v>
      </c>
      <c r="C338" s="16" t="n">
        <v>151.99</v>
      </c>
      <c r="D338" s="16" t="n">
        <v>52.95</v>
      </c>
      <c r="E338" s="10" t="n">
        <v>20</v>
      </c>
      <c r="F338" s="17" t="n">
        <f aca="false">C338-B338</f>
        <v>5.74000000000001</v>
      </c>
      <c r="G338" s="18" t="n">
        <f aca="false">(B338-B338/(1+E338/100)+D338)/B338</f>
        <v>0.528717948717949</v>
      </c>
      <c r="H338" s="18" t="n">
        <f aca="false">(C338-C338/(1+E338/100)+D338)/C338</f>
        <v>0.515044849441849</v>
      </c>
    </row>
    <row r="339" customFormat="false" ht="15" hidden="false" customHeight="false" outlineLevel="0" collapsed="false">
      <c r="A339" s="15" t="n">
        <v>45460</v>
      </c>
      <c r="B339" s="16" t="n">
        <v>145.09</v>
      </c>
      <c r="C339" s="16" t="n">
        <v>150.7</v>
      </c>
      <c r="D339" s="16" t="n">
        <v>52.95</v>
      </c>
      <c r="E339" s="10" t="n">
        <v>20</v>
      </c>
      <c r="F339" s="17" t="n">
        <f aca="false">C339-B339</f>
        <v>5.60999999999999</v>
      </c>
      <c r="G339" s="18" t="n">
        <f aca="false">(B339-B339/(1+E339/100)+D339)/B339</f>
        <v>0.531612562317642</v>
      </c>
      <c r="H339" s="18" t="n">
        <f aca="false">(C339-C339/(1+E339/100)+D339)/C339</f>
        <v>0.51802698518027</v>
      </c>
    </row>
    <row r="340" customFormat="false" ht="15" hidden="false" customHeight="false" outlineLevel="0" collapsed="false">
      <c r="A340" s="15" t="n">
        <v>45467</v>
      </c>
      <c r="B340" s="16" t="n">
        <v>144.43</v>
      </c>
      <c r="C340" s="16" t="n">
        <v>150.12</v>
      </c>
      <c r="D340" s="16" t="n">
        <v>52.95</v>
      </c>
      <c r="E340" s="10" t="n">
        <v>20</v>
      </c>
      <c r="F340" s="17" t="n">
        <f aca="false">C340-B340</f>
        <v>5.69</v>
      </c>
      <c r="G340" s="18" t="n">
        <f aca="false">(B340-B340/(1+E340/100)+D340)/B340</f>
        <v>0.533280251102033</v>
      </c>
      <c r="H340" s="18" t="n">
        <f aca="false">(C340-C340/(1+E340/100)+D340)/C340</f>
        <v>0.519384492406075</v>
      </c>
    </row>
    <row r="341" customFormat="false" ht="15" hidden="false" customHeight="false" outlineLevel="0" collapsed="false">
      <c r="A341" s="15" t="n">
        <v>45474</v>
      </c>
      <c r="B341" s="16" t="n">
        <v>144.28</v>
      </c>
      <c r="C341" s="16" t="n">
        <v>150.06</v>
      </c>
      <c r="D341" s="16" t="n">
        <v>52.95</v>
      </c>
      <c r="E341" s="10" t="n">
        <v>20</v>
      </c>
      <c r="F341" s="17" t="n">
        <f aca="false">C341-B341</f>
        <v>5.78</v>
      </c>
      <c r="G341" s="18" t="n">
        <f aca="false">(B341-B341/(1+E341/100)+D341)/B341</f>
        <v>0.533661399131319</v>
      </c>
      <c r="H341" s="18" t="n">
        <f aca="false">(C341-C341/(1+E341/100)+D341)/C341</f>
        <v>0.519525523124084</v>
      </c>
    </row>
    <row r="342" customFormat="false" ht="15" hidden="false" customHeight="false" outlineLevel="0" collapsed="false">
      <c r="A342" s="15" t="n">
        <v>45481</v>
      </c>
      <c r="B342" s="16" t="n">
        <v>144.45</v>
      </c>
      <c r="C342" s="16" t="n">
        <v>150.39</v>
      </c>
      <c r="D342" s="16" t="n">
        <v>52.95</v>
      </c>
      <c r="E342" s="10" t="n">
        <v>20</v>
      </c>
      <c r="F342" s="17" t="n">
        <f aca="false">C342-B342</f>
        <v>5.94</v>
      </c>
      <c r="G342" s="18" t="n">
        <f aca="false">(B342-B342/(1+E342/100)+D342)/B342</f>
        <v>0.533229491173416</v>
      </c>
      <c r="H342" s="18" t="n">
        <f aca="false">(C342-C342/(1+E342/100)+D342)/C342</f>
        <v>0.518751246758428</v>
      </c>
    </row>
    <row r="343" customFormat="false" ht="15" hidden="false" customHeight="false" outlineLevel="0" collapsed="false">
      <c r="A343" s="15" t="n">
        <v>45488</v>
      </c>
      <c r="B343" s="16" t="n">
        <v>144.6</v>
      </c>
      <c r="C343" s="16" t="n">
        <v>150.56</v>
      </c>
      <c r="D343" s="16" t="n">
        <v>52.95</v>
      </c>
      <c r="E343" s="10" t="n">
        <v>20</v>
      </c>
      <c r="F343" s="17" t="n">
        <f aca="false">C343-B343</f>
        <v>5.96000000000001</v>
      </c>
      <c r="G343" s="18" t="n">
        <f aca="false">(B343-B343/(1+E343/100)+D343)/B343</f>
        <v>0.532849239280775</v>
      </c>
      <c r="H343" s="18" t="n">
        <f aca="false">(C343-C343/(1+E343/100)+D343)/C343</f>
        <v>0.518353701735742</v>
      </c>
    </row>
    <row r="344" customFormat="false" ht="15" hidden="false" customHeight="false" outlineLevel="0" collapsed="false">
      <c r="A344" s="15" t="n">
        <v>45495</v>
      </c>
      <c r="B344" s="16" t="n">
        <v>144.69</v>
      </c>
      <c r="C344" s="16" t="n">
        <v>150.59</v>
      </c>
      <c r="D344" s="16" t="n">
        <v>52.95</v>
      </c>
      <c r="E344" s="10" t="n">
        <v>20</v>
      </c>
      <c r="F344" s="17" t="n">
        <f aca="false">C344-B344</f>
        <v>5.90000000000001</v>
      </c>
      <c r="G344" s="18" t="n">
        <f aca="false">(B344-B344/(1+E344/100)+D344)/B344</f>
        <v>0.532621466583731</v>
      </c>
      <c r="H344" s="18" t="n">
        <f aca="false">(C344-C344/(1+E344/100)+D344)/C344</f>
        <v>0.518283639905262</v>
      </c>
    </row>
    <row r="345" customFormat="false" ht="15" hidden="false" customHeight="false" outlineLevel="0" collapsed="false">
      <c r="A345" s="15" t="n">
        <v>45502</v>
      </c>
      <c r="B345" s="16" t="n">
        <v>144.19</v>
      </c>
      <c r="C345" s="16" t="n">
        <v>150.16</v>
      </c>
      <c r="D345" s="16" t="n">
        <v>52.95</v>
      </c>
      <c r="E345" s="10" t="n">
        <v>20</v>
      </c>
      <c r="F345" s="17" t="n">
        <f aca="false">C345-B345</f>
        <v>5.97</v>
      </c>
      <c r="G345" s="18" t="n">
        <f aca="false">(B345-B345/(1+E345/100)+D345)/B345</f>
        <v>0.533890468594678</v>
      </c>
      <c r="H345" s="18" t="n">
        <f aca="false">(C345-C345/(1+E345/100)+D345)/C345</f>
        <v>0.519290534540934</v>
      </c>
    </row>
    <row r="346" customFormat="false" ht="15" hidden="false" customHeight="false" outlineLevel="0" collapsed="false">
      <c r="A346" s="15" t="n">
        <v>45509</v>
      </c>
      <c r="B346" s="16" t="n">
        <v>143.42</v>
      </c>
      <c r="C346" s="16" t="n">
        <v>149.1</v>
      </c>
      <c r="D346" s="16" t="n">
        <v>52.95</v>
      </c>
      <c r="E346" s="10" t="n">
        <v>20</v>
      </c>
      <c r="F346" s="17" t="n">
        <f aca="false">C346-B346</f>
        <v>5.68000000000001</v>
      </c>
      <c r="G346" s="18" t="n">
        <f aca="false">(B346-B346/(1+E346/100)+D346)/B346</f>
        <v>0.535862036907916</v>
      </c>
      <c r="H346" s="18" t="n">
        <f aca="false">(C346-C346/(1+E346/100)+D346)/C346</f>
        <v>0.521797451374916</v>
      </c>
    </row>
    <row r="347" customFormat="false" ht="15" hidden="false" customHeight="false" outlineLevel="0" collapsed="false">
      <c r="A347" s="15" t="n">
        <v>45516</v>
      </c>
      <c r="B347" s="16" t="n">
        <v>142.91</v>
      </c>
      <c r="C347" s="16" t="n">
        <v>148.48</v>
      </c>
      <c r="D347" s="16" t="n">
        <v>52.95</v>
      </c>
      <c r="E347" s="10" t="n">
        <v>20</v>
      </c>
      <c r="F347" s="17" t="n">
        <f aca="false">C347-B347</f>
        <v>5.56999999999999</v>
      </c>
      <c r="G347" s="18" t="n">
        <f aca="false">(B347-B347/(1+E347/100)+D347)/B347</f>
        <v>0.537179576889884</v>
      </c>
      <c r="H347" s="18" t="n">
        <f aca="false">(C347-C347/(1+E347/100)+D347)/C347</f>
        <v>0.523280352011494</v>
      </c>
    </row>
    <row r="348" customFormat="false" ht="15" hidden="false" customHeight="false" outlineLevel="0" collapsed="false">
      <c r="A348" s="15" t="n">
        <v>45523</v>
      </c>
      <c r="B348" s="16" t="n">
        <v>141.96</v>
      </c>
      <c r="C348" s="16" t="n">
        <v>147.42</v>
      </c>
      <c r="D348" s="16" t="n">
        <v>52.95</v>
      </c>
      <c r="E348" s="10" t="n">
        <v>20</v>
      </c>
      <c r="F348" s="17" t="n">
        <f aca="false">C348-B348</f>
        <v>5.45999999999998</v>
      </c>
      <c r="G348" s="18" t="n">
        <f aca="false">(B348-B348/(1+E348/100)+D348)/B348</f>
        <v>0.539659058889828</v>
      </c>
      <c r="H348" s="18" t="n">
        <f aca="false">(C348-C348/(1+E348/100)+D348)/C348</f>
        <v>0.525844525844526</v>
      </c>
    </row>
    <row r="349" customFormat="false" ht="15" hidden="false" customHeight="false" outlineLevel="0" collapsed="false">
      <c r="A349" s="15" t="n">
        <v>45530</v>
      </c>
      <c r="B349" s="16" t="n">
        <v>141.01</v>
      </c>
      <c r="C349" s="16" t="n">
        <v>146.15</v>
      </c>
      <c r="D349" s="16" t="n">
        <v>52.95</v>
      </c>
      <c r="E349" s="10" t="n">
        <v>20</v>
      </c>
      <c r="F349" s="17" t="n">
        <f aca="false">C349-B349</f>
        <v>5.14000000000002</v>
      </c>
      <c r="G349" s="18" t="n">
        <f aca="false">(B349-B349/(1+E349/100)+D349)/B349</f>
        <v>0.542171949979907</v>
      </c>
      <c r="H349" s="18" t="n">
        <f aca="false">(C349-C349/(1+E349/100)+D349)/C349</f>
        <v>0.528965674535295</v>
      </c>
    </row>
    <row r="350" customFormat="false" ht="15" hidden="false" customHeight="false" outlineLevel="0" collapsed="false">
      <c r="A350" s="15" t="n">
        <v>45537</v>
      </c>
      <c r="B350" s="16" t="n">
        <v>139.96</v>
      </c>
      <c r="C350" s="16" t="n">
        <v>145.19</v>
      </c>
      <c r="D350" s="16" t="n">
        <v>52.95</v>
      </c>
      <c r="E350" s="10" t="n">
        <v>20</v>
      </c>
      <c r="F350" s="17" t="n">
        <f aca="false">C350-B350</f>
        <v>5.22999999999999</v>
      </c>
      <c r="G350" s="18" t="n">
        <f aca="false">(B350-B350/(1+E350/100)+D350)/B350</f>
        <v>0.544989044488902</v>
      </c>
      <c r="H350" s="18" t="n">
        <f aca="false">(C350-C350/(1+E350/100)+D350)/C350</f>
        <v>0.531361204858002</v>
      </c>
    </row>
    <row r="351" customFormat="false" ht="15" hidden="false" customHeight="false" outlineLevel="0" collapsed="false">
      <c r="A351" s="15" t="n">
        <v>45544</v>
      </c>
      <c r="B351" s="16" t="n">
        <v>138.1</v>
      </c>
      <c r="C351" s="16" t="n">
        <v>143.4</v>
      </c>
      <c r="D351" s="16" t="n">
        <v>52.95</v>
      </c>
      <c r="E351" s="10" t="n">
        <v>20</v>
      </c>
      <c r="F351" s="17" t="n">
        <f aca="false">C351-B351</f>
        <v>5.30000000000001</v>
      </c>
      <c r="G351" s="18" t="n">
        <f aca="false">(B351-B351/(1+E351/100)+D351)/B351</f>
        <v>0.550084479845523</v>
      </c>
      <c r="H351" s="18" t="n">
        <f aca="false">(C351-C351/(1+E351/100)+D351)/C351</f>
        <v>0.535913528591353</v>
      </c>
    </row>
    <row r="352" customFormat="false" ht="15" hidden="false" customHeight="false" outlineLevel="0" collapsed="false">
      <c r="A352" s="15" t="n">
        <v>45551</v>
      </c>
      <c r="B352" s="16" t="n">
        <v>136.49</v>
      </c>
      <c r="C352" s="16" t="n">
        <v>141.61</v>
      </c>
      <c r="D352" s="16" t="n">
        <v>52.95</v>
      </c>
      <c r="E352" s="10" t="n">
        <v>20</v>
      </c>
      <c r="F352" s="17" t="n">
        <f aca="false">C352-B352</f>
        <v>5.12</v>
      </c>
      <c r="G352" s="18" t="n">
        <f aca="false">(B352-B352/(1+E352/100)+D352)/B352</f>
        <v>0.554607175128825</v>
      </c>
      <c r="H352" s="18" t="n">
        <f aca="false">(C352-C352/(1+E352/100)+D352)/C352</f>
        <v>0.540580938257656</v>
      </c>
    </row>
    <row r="353" customFormat="false" ht="15" hidden="false" customHeight="false" outlineLevel="0" collapsed="false">
      <c r="A353" s="15" t="n">
        <v>45558</v>
      </c>
      <c r="B353" s="16" t="n">
        <v>135.26</v>
      </c>
      <c r="C353" s="16" t="n">
        <v>140.02</v>
      </c>
      <c r="D353" s="16" t="n">
        <v>52.95</v>
      </c>
      <c r="E353" s="10" t="n">
        <v>20</v>
      </c>
      <c r="F353" s="17" t="n">
        <f aca="false">C353-B353</f>
        <v>4.76000000000002</v>
      </c>
      <c r="G353" s="18" t="n">
        <f aca="false">(B353-B353/(1+E353/100)+D353)/B353</f>
        <v>0.558134949972892</v>
      </c>
      <c r="H353" s="18" t="n">
        <f aca="false">(C353-C353/(1+E353/100)+D353)/C353</f>
        <v>0.544826929486264</v>
      </c>
    </row>
    <row r="354" customFormat="false" ht="15" hidden="false" customHeight="false" outlineLevel="0" collapsed="false">
      <c r="A354" s="15" t="n">
        <v>45565</v>
      </c>
      <c r="B354" s="16" t="n">
        <v>134.17</v>
      </c>
      <c r="C354" s="16" t="n">
        <v>138.85</v>
      </c>
      <c r="D354" s="16" t="n">
        <v>52.95</v>
      </c>
      <c r="E354" s="10" t="n">
        <v>20</v>
      </c>
      <c r="F354" s="17" t="n">
        <f aca="false">C354-B354</f>
        <v>4.68000000000001</v>
      </c>
      <c r="G354" s="18" t="n">
        <f aca="false">(B354-B354/(1+E354/100)+D354)/B354</f>
        <v>0.561315246826166</v>
      </c>
      <c r="H354" s="18" t="n">
        <f aca="false">(C354-C354/(1+E354/100)+D354)/C354</f>
        <v>0.548013443764254</v>
      </c>
    </row>
    <row r="355" customFormat="false" ht="15" hidden="false" customHeight="false" outlineLevel="0" collapsed="false">
      <c r="A355" s="15" t="n">
        <v>45572</v>
      </c>
      <c r="B355" s="16" t="n">
        <v>133.59</v>
      </c>
      <c r="C355" s="16" t="n">
        <v>138.46</v>
      </c>
      <c r="D355" s="16" t="n">
        <v>52.95</v>
      </c>
      <c r="E355" s="10" t="n">
        <v>20</v>
      </c>
      <c r="F355" s="17" t="n">
        <f aca="false">C355-B355</f>
        <v>4.87</v>
      </c>
      <c r="G355" s="18" t="n">
        <f aca="false">(B355-B355/(1+E355/100)+D355)/B355</f>
        <v>0.563028669810615</v>
      </c>
      <c r="H355" s="18" t="n">
        <f aca="false">(C355-C355/(1+E355/100)+D355)/C355</f>
        <v>0.54908758245462</v>
      </c>
    </row>
    <row r="356" customFormat="false" ht="15" hidden="false" customHeight="false" outlineLevel="0" collapsed="false">
      <c r="A356" s="15" t="n">
        <v>45579</v>
      </c>
      <c r="B356" s="16" t="n">
        <v>133.86</v>
      </c>
      <c r="C356" s="16" t="n">
        <v>139.08</v>
      </c>
      <c r="D356" s="16" t="n">
        <v>52.95</v>
      </c>
      <c r="E356" s="10" t="n">
        <v>20</v>
      </c>
      <c r="F356" s="17" t="n">
        <f aca="false">C356-B356</f>
        <v>5.22</v>
      </c>
      <c r="G356" s="18" t="n">
        <f aca="false">(B356-B356/(1+E356/100)+D356)/B356</f>
        <v>0.56222919468101</v>
      </c>
      <c r="H356" s="18" t="n">
        <f aca="false">(C356-C356/(1+E356/100)+D356)/C356</f>
        <v>0.547382801265459</v>
      </c>
    </row>
    <row r="357" customFormat="false" ht="15" hidden="false" customHeight="false" outlineLevel="0" collapsed="false">
      <c r="A357" s="15" t="n">
        <v>45586</v>
      </c>
      <c r="B357" s="16" t="n">
        <v>133.99</v>
      </c>
      <c r="C357" s="16" t="n">
        <v>139.26</v>
      </c>
      <c r="D357" s="16" t="n">
        <v>52.95</v>
      </c>
      <c r="E357" s="10" t="n">
        <v>20</v>
      </c>
      <c r="F357" s="17" t="n">
        <f aca="false">C357-B357</f>
        <v>5.26999999999998</v>
      </c>
      <c r="G357" s="18" t="n">
        <f aca="false">(B357-B357/(1+E357/100)+D357)/B357</f>
        <v>0.561845411349106</v>
      </c>
      <c r="H357" s="18" t="n">
        <f aca="false">(C357-C357/(1+E357/100)+D357)/C357</f>
        <v>0.546890708028149</v>
      </c>
    </row>
    <row r="358" customFormat="false" ht="15" hidden="false" customHeight="false" outlineLevel="0" collapsed="false">
      <c r="A358" s="15" t="n">
        <v>45593</v>
      </c>
      <c r="B358" s="16" t="n">
        <v>134.41</v>
      </c>
      <c r="C358" s="16" t="n">
        <v>139.71</v>
      </c>
      <c r="D358" s="16" t="n">
        <v>52.95</v>
      </c>
      <c r="E358" s="10" t="n">
        <v>20</v>
      </c>
      <c r="F358" s="17" t="n">
        <f aca="false">C358-B358</f>
        <v>5.30000000000001</v>
      </c>
      <c r="G358" s="18" t="n">
        <f aca="false">(B358-B358/(1+E358/100)+D358)/B358</f>
        <v>0.560610569650076</v>
      </c>
      <c r="H358" s="18" t="n">
        <f aca="false">(C358-C358/(1+E358/100)+D358)/C358</f>
        <v>0.545666022475127</v>
      </c>
    </row>
    <row r="359" customFormat="false" ht="15" hidden="false" customHeight="false" outlineLevel="0" collapsed="false">
      <c r="A359" s="15" t="n">
        <v>45600</v>
      </c>
      <c r="B359" s="16" t="n">
        <v>134.41</v>
      </c>
      <c r="C359" s="16" t="n">
        <v>139.84</v>
      </c>
      <c r="D359" s="16" t="n">
        <v>52.95</v>
      </c>
      <c r="E359" s="10" t="n">
        <v>20</v>
      </c>
      <c r="F359" s="17" t="n">
        <f aca="false">C359-B359</f>
        <v>5.43000000000001</v>
      </c>
      <c r="G359" s="18" t="n">
        <f aca="false">(B359-B359/(1+E359/100)+D359)/B359</f>
        <v>0.560610569650076</v>
      </c>
      <c r="H359" s="18" t="n">
        <f aca="false">(C359-C359/(1+E359/100)+D359)/C359</f>
        <v>0.545313691838291</v>
      </c>
    </row>
    <row r="360" customFormat="false" ht="15" hidden="false" customHeight="false" outlineLevel="0" collapsed="false">
      <c r="A360" s="15" t="n">
        <v>45607</v>
      </c>
      <c r="B360" s="16" t="n">
        <v>134.59</v>
      </c>
      <c r="C360" s="16" t="n">
        <v>140.13</v>
      </c>
      <c r="D360" s="16" t="n">
        <v>52.95</v>
      </c>
      <c r="E360" s="10" t="n">
        <v>20</v>
      </c>
      <c r="F360" s="17" t="n">
        <f aca="false">C360-B360</f>
        <v>5.53999999999999</v>
      </c>
      <c r="G360" s="18" t="n">
        <f aca="false">(B360-B360/(1+E360/100)+D360)/B360</f>
        <v>0.560083711023602</v>
      </c>
      <c r="H360" s="18" t="n">
        <f aca="false">(C360-C360/(1+E360/100)+D360)/C360</f>
        <v>0.54453007921216</v>
      </c>
    </row>
    <row r="361" customFormat="false" ht="15" hidden="false" customHeight="false" outlineLevel="0" collapsed="false">
      <c r="A361" s="15" t="n">
        <v>45614</v>
      </c>
      <c r="B361" s="16" t="n">
        <v>134.85</v>
      </c>
      <c r="C361" s="16" t="n">
        <v>140.49</v>
      </c>
      <c r="D361" s="16" t="n">
        <v>52.95</v>
      </c>
      <c r="E361" s="10" t="n">
        <v>20</v>
      </c>
      <c r="F361" s="17" t="n">
        <f aca="false">C361-B361</f>
        <v>5.64000000000002</v>
      </c>
      <c r="G361" s="18" t="n">
        <f aca="false">(B361-B361/(1+E361/100)+D361)/B361</f>
        <v>0.559325176121617</v>
      </c>
      <c r="H361" s="18" t="n">
        <f aca="false">(C361-C361/(1+E361/100)+D361)/C361</f>
        <v>0.543561819346573</v>
      </c>
    </row>
    <row r="362" customFormat="false" ht="15" hidden="false" customHeight="false" outlineLevel="0" collapsed="false">
      <c r="A362" s="15" t="n">
        <v>45621</v>
      </c>
      <c r="B362" s="16" t="n">
        <v>135.37</v>
      </c>
      <c r="C362" s="16" t="n">
        <v>141.4</v>
      </c>
      <c r="D362" s="16" t="n">
        <v>52.95</v>
      </c>
      <c r="E362" s="10" t="n">
        <v>20</v>
      </c>
      <c r="F362" s="17" t="n">
        <f aca="false">C362-B362</f>
        <v>6.03</v>
      </c>
      <c r="G362" s="18" t="n">
        <f aca="false">(B362-B362/(1+E362/100)+D362)/B362</f>
        <v>0.557816847652114</v>
      </c>
      <c r="H362" s="18" t="n">
        <f aca="false">(C362-C362/(1+E362/100)+D362)/C362</f>
        <v>0.541136256482791</v>
      </c>
    </row>
    <row r="363" customFormat="false" ht="15" hidden="false" customHeight="false" outlineLevel="0" collapsed="false">
      <c r="A363" s="15" t="n">
        <v>45628</v>
      </c>
      <c r="B363" s="16" t="n">
        <v>135.93</v>
      </c>
      <c r="C363" s="16" t="n">
        <v>142.04</v>
      </c>
      <c r="D363" s="16" t="n">
        <v>52.95</v>
      </c>
      <c r="E363" s="10" t="n">
        <v>20</v>
      </c>
      <c r="F363" s="17" t="n">
        <f aca="false">C363-B363</f>
        <v>6.10999999999999</v>
      </c>
      <c r="G363" s="18" t="n">
        <f aca="false">(B363-B363/(1+E363/100)+D363)/B363</f>
        <v>0.556205399838152</v>
      </c>
      <c r="H363" s="18" t="n">
        <f aca="false">(C363-C363/(1+E363/100)+D363)/C363</f>
        <v>0.539448981507557</v>
      </c>
    </row>
    <row r="364" customFormat="false" ht="15" hidden="false" customHeight="false" outlineLevel="0" collapsed="false">
      <c r="A364" s="15" t="n">
        <v>45635</v>
      </c>
      <c r="B364" s="16" t="n">
        <v>136.23</v>
      </c>
      <c r="C364" s="16" t="n">
        <v>142.49</v>
      </c>
      <c r="D364" s="16" t="n">
        <v>52.95</v>
      </c>
      <c r="E364" s="10" t="n">
        <v>20</v>
      </c>
      <c r="F364" s="17" t="n">
        <f aca="false">C364-B364</f>
        <v>6.26000000000002</v>
      </c>
      <c r="G364" s="18" t="n">
        <f aca="false">(B364-B364/(1+E364/100)+D364)/B364</f>
        <v>0.55534757395581</v>
      </c>
      <c r="H364" s="18" t="n">
        <f aca="false">(C364-C364/(1+E364/100)+D364)/C364</f>
        <v>0.538271691580696</v>
      </c>
    </row>
    <row r="365" customFormat="false" ht="15" hidden="false" customHeight="false" outlineLevel="0" collapsed="false">
      <c r="A365" s="15" t="n">
        <v>45642</v>
      </c>
      <c r="B365" s="16" t="n">
        <v>136.39</v>
      </c>
      <c r="C365" s="16" t="n">
        <v>142.71</v>
      </c>
      <c r="D365" s="16" t="n">
        <v>52.95</v>
      </c>
      <c r="E365" s="10" t="n">
        <v>20</v>
      </c>
      <c r="F365" s="17" t="n">
        <f aca="false">C365-B365</f>
        <v>6.32000000000002</v>
      </c>
      <c r="G365" s="18" t="n">
        <f aca="false">(B365-B365/(1+E365/100)+D365)/B365</f>
        <v>0.554891609844319</v>
      </c>
      <c r="H365" s="18" t="n">
        <f aca="false">(C365-C365/(1+E365/100)+D365)/C365</f>
        <v>0.537698829794689</v>
      </c>
    </row>
    <row r="366" customFormat="false" ht="15" hidden="false" customHeight="false" outlineLevel="0" collapsed="false">
      <c r="A366" s="15" t="n">
        <v>45649</v>
      </c>
      <c r="B366" s="16" t="n">
        <v>136.39</v>
      </c>
      <c r="C366" s="16" t="n">
        <v>142.85</v>
      </c>
      <c r="D366" s="16" t="n">
        <v>52.95</v>
      </c>
      <c r="E366" s="10" t="n">
        <v>20</v>
      </c>
      <c r="F366" s="17" t="n">
        <f aca="false">C366-B366</f>
        <v>6.46000000000001</v>
      </c>
      <c r="G366" s="18" t="n">
        <f aca="false">(B366-B366/(1+E366/100)+D366)/B366</f>
        <v>0.554891609844319</v>
      </c>
      <c r="H366" s="18" t="n">
        <f aca="false">(C366-C366/(1+E366/100)+D366)/C366</f>
        <v>0.537335200093338</v>
      </c>
    </row>
    <row r="367" customFormat="false" ht="15" hidden="false" customHeight="false" outlineLevel="0" collapsed="false">
      <c r="A367" s="15" t="n">
        <v>45656</v>
      </c>
      <c r="B367" s="16" t="n">
        <v>136.49</v>
      </c>
      <c r="C367" s="16" t="n">
        <v>142.98</v>
      </c>
      <c r="D367" s="16" t="n">
        <v>52.95</v>
      </c>
      <c r="E367" s="10" t="n">
        <v>20</v>
      </c>
      <c r="F367" s="17" t="n">
        <f aca="false">C367-B367</f>
        <v>6.48999999999998</v>
      </c>
      <c r="G367" s="18" t="n">
        <f aca="false">(B367-B367/(1+E367/100)+D367)/B367</f>
        <v>0.554607175128825</v>
      </c>
      <c r="H367" s="18" t="n">
        <f aca="false">(C367-C367/(1+E367/100)+D367)/C367</f>
        <v>0.536998181563855</v>
      </c>
    </row>
    <row r="368" customFormat="false" ht="15" hidden="false" customHeight="false" outlineLevel="0" collapsed="false">
      <c r="A368" s="15" t="n">
        <v>45663</v>
      </c>
      <c r="B368" s="16" t="n">
        <v>136.6</v>
      </c>
      <c r="C368" s="16" t="n">
        <v>143.3</v>
      </c>
      <c r="D368" s="16" t="n">
        <v>52.95</v>
      </c>
      <c r="E368" s="10" t="n">
        <v>20</v>
      </c>
      <c r="F368" s="17" t="n">
        <f aca="false">C368-B368</f>
        <v>6.70000000000002</v>
      </c>
      <c r="G368" s="18" t="n">
        <f aca="false">(B368-B368/(1+E368/100)+D368)/B368</f>
        <v>0.554294777940459</v>
      </c>
      <c r="H368" s="18" t="n">
        <f aca="false">(C368-C368/(1+E368/100)+D368)/C368</f>
        <v>0.536171202605257</v>
      </c>
    </row>
    <row r="369" customFormat="false" ht="15" hidden="false" customHeight="false" outlineLevel="0" collapsed="false">
      <c r="A369" s="15" t="n">
        <v>45670</v>
      </c>
      <c r="B369" s="16" t="n">
        <v>136.51</v>
      </c>
      <c r="C369" s="16" t="n">
        <v>143.33</v>
      </c>
      <c r="D369" s="16" t="n">
        <v>52.95</v>
      </c>
      <c r="E369" s="10" t="n">
        <v>20</v>
      </c>
      <c r="F369" s="17" t="n">
        <f aca="false">C369-B369</f>
        <v>6.82000000000002</v>
      </c>
      <c r="G369" s="18" t="n">
        <f aca="false">(B369-B369/(1+E369/100)+D369)/B369</f>
        <v>0.554550338192562</v>
      </c>
      <c r="H369" s="18" t="n">
        <f aca="false">(C369-C369/(1+E369/100)+D369)/C369</f>
        <v>0.536093862647969</v>
      </c>
    </row>
    <row r="370" customFormat="false" ht="15" hidden="false" customHeight="false" outlineLevel="0" collapsed="false">
      <c r="A370" s="15" t="n">
        <v>45677</v>
      </c>
      <c r="B370" s="16" t="n">
        <v>136.97</v>
      </c>
      <c r="C370" s="16" t="n">
        <v>144.27</v>
      </c>
      <c r="D370" s="16" t="n">
        <v>52.95</v>
      </c>
      <c r="E370" s="10" t="n">
        <v>20</v>
      </c>
      <c r="F370" s="17" t="n">
        <f aca="false">C370-B370</f>
        <v>7.30000000000001</v>
      </c>
      <c r="G370" s="18" t="n">
        <f aca="false">(B370-B370/(1+E370/100)+D370)/B370</f>
        <v>0.55324766980604</v>
      </c>
      <c r="H370" s="18" t="n">
        <f aca="false">(C370-C370/(1+E370/100)+D370)/C370</f>
        <v>0.533686837180287</v>
      </c>
    </row>
    <row r="371" customFormat="false" ht="15" hidden="false" customHeight="false" outlineLevel="0" collapsed="false">
      <c r="A371" s="15" t="n">
        <v>45684</v>
      </c>
      <c r="B371" s="16" t="n">
        <v>138.36</v>
      </c>
      <c r="C371" s="16" t="n">
        <v>145.57</v>
      </c>
      <c r="D371" s="16" t="n">
        <v>52.95</v>
      </c>
      <c r="E371" s="10" t="n">
        <v>20</v>
      </c>
      <c r="F371" s="17" t="n">
        <f aca="false">C371-B371</f>
        <v>7.20999999999998</v>
      </c>
      <c r="G371" s="18" t="n">
        <f aca="false">(B371-B371/(1+E371/100)+D371)/B371</f>
        <v>0.549363978028332</v>
      </c>
      <c r="H371" s="18" t="n">
        <f aca="false">(C371-C371/(1+E371/100)+D371)/C371</f>
        <v>0.530409196033981</v>
      </c>
    </row>
    <row r="372" customFormat="false" ht="15" hidden="false" customHeight="false" outlineLevel="0" collapsed="false">
      <c r="A372" s="15" t="n">
        <v>45691</v>
      </c>
      <c r="B372" s="16" t="n">
        <v>138.74</v>
      </c>
      <c r="C372" s="16" t="n">
        <v>146.13</v>
      </c>
      <c r="D372" s="16" t="n">
        <v>52.95</v>
      </c>
      <c r="E372" s="10" t="n">
        <v>20</v>
      </c>
      <c r="F372" s="17" t="n">
        <f aca="false">C372-B372</f>
        <v>7.38999999999999</v>
      </c>
      <c r="G372" s="18" t="n">
        <f aca="false">(B372-B372/(1+E372/100)+D372)/B372</f>
        <v>0.548315794531738</v>
      </c>
      <c r="H372" s="18" t="n">
        <f aca="false">(C372-C372/(1+E372/100)+D372)/C372</f>
        <v>0.529015260384589</v>
      </c>
    </row>
    <row r="373" customFormat="false" ht="15" hidden="false" customHeight="false" outlineLevel="0" collapsed="false">
      <c r="A373" s="15" t="n">
        <v>45698</v>
      </c>
      <c r="B373" s="16" t="n">
        <v>139.02</v>
      </c>
      <c r="C373" s="16" t="n">
        <v>146.29</v>
      </c>
      <c r="D373" s="16" t="n">
        <v>52.95</v>
      </c>
      <c r="E373" s="10" t="n">
        <v>20</v>
      </c>
      <c r="F373" s="17" t="n">
        <f aca="false">C373-B373</f>
        <v>7.26999999999998</v>
      </c>
      <c r="G373" s="18" t="n">
        <f aca="false">(B373-B373/(1+E373/100)+D373)/B373</f>
        <v>0.547547115522946</v>
      </c>
      <c r="H373" s="18" t="n">
        <f aca="false">(C373-C373/(1+E373/100)+D373)/C373</f>
        <v>0.528618953220772</v>
      </c>
    </row>
    <row r="374" customFormat="false" ht="15" hidden="false" customHeight="false" outlineLevel="0" collapsed="false">
      <c r="A374" s="15" t="n">
        <v>45705</v>
      </c>
      <c r="B374" s="16" t="n">
        <v>139.22</v>
      </c>
      <c r="C374" s="16" t="n">
        <v>146.45</v>
      </c>
      <c r="D374" s="16" t="n">
        <v>52.95</v>
      </c>
      <c r="E374" s="10" t="n">
        <v>20</v>
      </c>
      <c r="F374" s="17" t="n">
        <f aca="false">C374-B374</f>
        <v>7.22999999999999</v>
      </c>
      <c r="G374" s="18" t="n">
        <f aca="false">(B374-B374/(1+E374/100)+D374)/B374</f>
        <v>0.54699995211416</v>
      </c>
      <c r="H374" s="18" t="n">
        <f aca="false">(C374-C374/(1+E374/100)+D374)/C374</f>
        <v>0.528223512006373</v>
      </c>
    </row>
    <row r="375" customFormat="false" ht="15" hidden="false" customHeight="false" outlineLevel="0" collapsed="false">
      <c r="A375" s="15" t="n">
        <v>45712</v>
      </c>
      <c r="B375" s="16" t="n">
        <v>139.62</v>
      </c>
      <c r="C375" s="16" t="n">
        <v>146.82</v>
      </c>
      <c r="D375" s="16" t="n">
        <v>52.95</v>
      </c>
      <c r="E375" s="10" t="n">
        <v>20</v>
      </c>
      <c r="F375" s="17" t="n">
        <f aca="false">C375-B375</f>
        <v>7.19999999999999</v>
      </c>
      <c r="G375" s="18" t="n">
        <f aca="false">(B375-B375/(1+E375/100)+D375)/B375</f>
        <v>0.545910328033233</v>
      </c>
      <c r="H375" s="18" t="n">
        <f aca="false">(C375-C375/(1+E375/100)+D375)/C375</f>
        <v>0.52731235526495</v>
      </c>
    </row>
    <row r="376" customFormat="false" ht="15" hidden="false" customHeight="false" outlineLevel="0" collapsed="false">
      <c r="A376" s="15" t="n">
        <v>45719</v>
      </c>
      <c r="B376" s="16" t="n">
        <v>139.61</v>
      </c>
      <c r="C376" s="16" t="n">
        <v>146.88</v>
      </c>
      <c r="D376" s="16" t="n">
        <v>52.95</v>
      </c>
      <c r="E376" s="10" t="n">
        <v>20</v>
      </c>
      <c r="F376" s="17" t="n">
        <f aca="false">C376-B376</f>
        <v>7.26999999999998</v>
      </c>
      <c r="G376" s="18" t="n">
        <f aca="false">(B376-B376/(1+E376/100)+D376)/B376</f>
        <v>0.545937492538739</v>
      </c>
      <c r="H376" s="18" t="n">
        <f aca="false">(C376-C376/(1+E376/100)+D376)/C376</f>
        <v>0.527165032679739</v>
      </c>
    </row>
    <row r="377" customFormat="false" ht="15" hidden="false" customHeight="false" outlineLevel="0" collapsed="false">
      <c r="A377" s="15" t="n">
        <v>45726</v>
      </c>
      <c r="B377" s="16" t="n">
        <v>139.42</v>
      </c>
      <c r="C377" s="16" t="n">
        <v>146.58</v>
      </c>
      <c r="D377" s="16" t="n">
        <v>52.95</v>
      </c>
      <c r="E377" s="10" t="n">
        <v>20</v>
      </c>
      <c r="F377" s="17" t="n">
        <f aca="false">C377-B377</f>
        <v>7.16000000000003</v>
      </c>
      <c r="G377" s="18" t="n">
        <f aca="false">(B377-B377/(1+E377/100)+D377)/B377</f>
        <v>0.54645435853297</v>
      </c>
      <c r="H377" s="18" t="n">
        <f aca="false">(C377-C377/(1+E377/100)+D377)/C377</f>
        <v>0.527902851685087</v>
      </c>
    </row>
    <row r="378" customFormat="false" ht="15" hidden="false" customHeight="false" outlineLevel="0" collapsed="false">
      <c r="A378" s="15" t="n">
        <v>45733</v>
      </c>
      <c r="B378" s="16" t="n">
        <v>137.97</v>
      </c>
      <c r="C378" s="16" t="n">
        <v>145.38</v>
      </c>
      <c r="D378" s="16" t="n">
        <v>52.95</v>
      </c>
      <c r="E378" s="10" t="n">
        <v>20</v>
      </c>
      <c r="F378" s="17" t="n">
        <f aca="false">C378-B378</f>
        <v>7.41</v>
      </c>
      <c r="G378" s="18" t="n">
        <f aca="false">(B378-B378/(1+E378/100)+D378)/B378</f>
        <v>0.550445749075886</v>
      </c>
      <c r="H378" s="18" t="n">
        <f aca="false">(C378-C378/(1+E378/100)+D378)/C378</f>
        <v>0.530884578346403</v>
      </c>
    </row>
    <row r="379" customFormat="false" ht="15" hidden="false" customHeight="false" outlineLevel="0" collapsed="false">
      <c r="A379" s="15" t="n">
        <v>45740</v>
      </c>
      <c r="B379" s="16" t="n">
        <v>135.61</v>
      </c>
      <c r="C379" s="16" t="n">
        <v>143.07</v>
      </c>
      <c r="D379" s="16" t="n">
        <v>52.95</v>
      </c>
      <c r="E379" s="10" t="n">
        <v>20</v>
      </c>
      <c r="F379" s="17" t="n">
        <f aca="false">C379-B379</f>
        <v>7.45999999999998</v>
      </c>
      <c r="G379" s="18" t="n">
        <f aca="false">(B379-B379/(1+E379/100)+D379)/B379</f>
        <v>0.557124597497726</v>
      </c>
      <c r="H379" s="18" t="n">
        <f aca="false">(C379-C379/(1+E379/100)+D379)/C379</f>
        <v>0.536765219822465</v>
      </c>
    </row>
    <row r="380" customFormat="false" ht="15" hidden="false" customHeight="false" outlineLevel="0" collapsed="false">
      <c r="A380" s="15" t="n">
        <v>45747</v>
      </c>
      <c r="B380" s="16" t="n">
        <v>134.91</v>
      </c>
      <c r="C380" s="16" t="n">
        <v>142.26</v>
      </c>
      <c r="D380" s="16" t="n">
        <v>52.95</v>
      </c>
      <c r="E380" s="10" t="n">
        <v>20</v>
      </c>
      <c r="F380" s="17" t="n">
        <f aca="false">C380-B380</f>
        <v>7.34999999999999</v>
      </c>
      <c r="G380" s="18" t="n">
        <f aca="false">(B380-B380/(1+E380/100)+D380)/B380</f>
        <v>0.55915054480765</v>
      </c>
      <c r="H380" s="18" t="n">
        <f aca="false">(C380-C380/(1+E380/100)+D380)/C380</f>
        <v>0.538872486995642</v>
      </c>
    </row>
    <row r="381" customFormat="false" ht="15" hidden="false" customHeight="false" outlineLevel="0" collapsed="false">
      <c r="A381" s="15" t="n">
        <v>45754</v>
      </c>
      <c r="B381" s="16" t="n">
        <v>135.25</v>
      </c>
      <c r="C381" s="16" t="n">
        <v>142.54</v>
      </c>
      <c r="D381" s="16" t="n">
        <v>52.95</v>
      </c>
      <c r="E381" s="10" t="n">
        <v>20</v>
      </c>
      <c r="F381" s="17" t="n">
        <f aca="false">C381-B381</f>
        <v>7.28999999999999</v>
      </c>
      <c r="G381" s="18" t="n">
        <f aca="false">(B381-B381/(1+E381/100)+D381)/B381</f>
        <v>0.558163894023413</v>
      </c>
      <c r="H381" s="18" t="n">
        <f aca="false">(C381-C381/(1+E381/100)+D381)/C381</f>
        <v>0.538141340442449</v>
      </c>
    </row>
    <row r="382" customFormat="false" ht="15" hidden="false" customHeight="false" outlineLevel="0" collapsed="false">
      <c r="A382" s="15" t="n">
        <v>45761</v>
      </c>
      <c r="B382" s="16" t="n">
        <v>134.85</v>
      </c>
      <c r="C382" s="16" t="n">
        <v>141.97</v>
      </c>
      <c r="D382" s="16" t="n">
        <v>52.95</v>
      </c>
      <c r="E382" s="10" t="n">
        <v>20</v>
      </c>
      <c r="F382" s="17" t="n">
        <f aca="false">C382-B382</f>
        <v>7.12</v>
      </c>
      <c r="G382" s="18" t="n">
        <f aca="false">(B382-B382/(1+E382/100)+D382)/B382</f>
        <v>0.559325176121617</v>
      </c>
      <c r="H382" s="18" t="n">
        <f aca="false">(C382-C382/(1+E382/100)+D382)/C382</f>
        <v>0.5396327862694</v>
      </c>
    </row>
    <row r="383" customFormat="false" ht="15" hidden="false" customHeight="false" outlineLevel="0" collapsed="false">
      <c r="A383" s="15" t="n">
        <v>45768</v>
      </c>
      <c r="B383" s="16" t="n">
        <v>134.26</v>
      </c>
      <c r="C383" s="16" t="n">
        <v>141.44</v>
      </c>
      <c r="D383" s="16" t="n">
        <v>52.95</v>
      </c>
      <c r="E383" s="10" t="n">
        <v>20</v>
      </c>
      <c r="F383" s="17" t="n">
        <f aca="false">C383-B383</f>
        <v>7.18000000000001</v>
      </c>
      <c r="G383" s="18" t="n">
        <f aca="false">(B383-B383/(1+E383/100)+D383)/B383</f>
        <v>0.561050697651323</v>
      </c>
      <c r="H383" s="18" t="n">
        <f aca="false">(C383-C383/(1+E383/100)+D383)/C383</f>
        <v>0.541030354449472</v>
      </c>
    </row>
    <row r="384" customFormat="false" ht="15" hidden="false" customHeight="false" outlineLevel="0" collapsed="false">
      <c r="A384" s="15" t="n">
        <v>45775</v>
      </c>
      <c r="B384" s="16" t="n">
        <v>133.84</v>
      </c>
      <c r="C384" s="16" t="n">
        <v>140.81</v>
      </c>
      <c r="D384" s="16" t="n">
        <v>52.95</v>
      </c>
      <c r="E384" s="10" t="n">
        <v>20</v>
      </c>
      <c r="F384" s="17" t="n">
        <f aca="false">C384-B384</f>
        <v>6.97</v>
      </c>
      <c r="G384" s="18" t="n">
        <f aca="false">(B384-B384/(1+E384/100)+D384)/B384</f>
        <v>0.562288304443116</v>
      </c>
      <c r="H384" s="18" t="n">
        <f aca="false">(C384-C384/(1+E384/100)+D384)/C384</f>
        <v>0.542705300286438</v>
      </c>
    </row>
    <row r="385" customFormat="false" ht="15" hidden="false" customHeight="false" outlineLevel="0" collapsed="false">
      <c r="A385" s="15" t="n">
        <v>45782</v>
      </c>
      <c r="B385" s="16" t="n">
        <v>133.18</v>
      </c>
      <c r="C385" s="16" t="n">
        <v>140.06</v>
      </c>
      <c r="D385" s="16" t="n">
        <v>52.95</v>
      </c>
      <c r="E385" s="10" t="n">
        <v>20</v>
      </c>
      <c r="F385" s="17" t="n">
        <f aca="false">C385-B385</f>
        <v>6.88</v>
      </c>
      <c r="G385" s="18" t="n">
        <f aca="false">(B385-B385/(1+E385/100)+D385)/B385</f>
        <v>0.564248886219152</v>
      </c>
      <c r="H385" s="18" t="n">
        <f aca="false">(C385-C385/(1+E385/100)+D385)/C385</f>
        <v>0.544718929982389</v>
      </c>
    </row>
    <row r="386" customFormat="false" ht="15" hidden="false" customHeight="false" outlineLevel="0" collapsed="false">
      <c r="A386" s="15" t="n">
        <v>45789</v>
      </c>
      <c r="B386" s="16" t="n">
        <v>132.32</v>
      </c>
      <c r="C386" s="16" t="n">
        <v>139.2</v>
      </c>
      <c r="D386" s="16" t="n">
        <v>52.95</v>
      </c>
      <c r="E386" s="10" t="n">
        <v>20</v>
      </c>
      <c r="F386" s="17" t="n">
        <f aca="false">C386-B386</f>
        <v>6.88</v>
      </c>
      <c r="G386" s="18" t="n">
        <f aca="false">(B386-B386/(1+E386/100)+D386)/B386</f>
        <v>0.566832930270052</v>
      </c>
      <c r="H386" s="18" t="n">
        <f aca="false">(C386-C386/(1+E386/100)+D386)/C386</f>
        <v>0.547054597701149</v>
      </c>
    </row>
    <row r="387" customFormat="false" ht="15" hidden="false" customHeight="false" outlineLevel="0" collapsed="false">
      <c r="A387" s="15" t="n">
        <v>45796</v>
      </c>
      <c r="B387" s="16" t="n">
        <v>132.07</v>
      </c>
      <c r="C387" s="16" t="n">
        <v>138.57</v>
      </c>
      <c r="D387" s="16" t="n">
        <v>52.95</v>
      </c>
      <c r="E387" s="10" t="n">
        <v>20</v>
      </c>
      <c r="F387" s="17" t="n">
        <f aca="false">C387-B387</f>
        <v>6.5</v>
      </c>
      <c r="G387" s="18" t="n">
        <f aca="false">(B387-B387/(1+E387/100)+D387)/B387</f>
        <v>0.56759041922213</v>
      </c>
      <c r="H387" s="18" t="n">
        <f aca="false">(C387-C387/(1+E387/100)+D387)/C387</f>
        <v>0.548784008082558</v>
      </c>
    </row>
    <row r="388" customFormat="false" ht="15" hidden="false" customHeight="false" outlineLevel="0" collapsed="false">
      <c r="A388" s="15" t="n">
        <v>45803</v>
      </c>
      <c r="B388" s="16" t="n">
        <v>131.99</v>
      </c>
      <c r="C388" s="16" t="n">
        <v>138.37</v>
      </c>
      <c r="D388" s="16" t="n">
        <v>52.95</v>
      </c>
      <c r="E388" s="10" t="n">
        <v>20</v>
      </c>
      <c r="F388" s="17" t="n">
        <f aca="false">C388-B388</f>
        <v>6.38</v>
      </c>
      <c r="G388" s="18" t="n">
        <f aca="false">(B388-B388/(1+E388/100)+D388)/B388</f>
        <v>0.567833421723868</v>
      </c>
      <c r="H388" s="18" t="n">
        <f aca="false">(C388-C388/(1+E388/100)+D388)/C388</f>
        <v>0.549336320493363</v>
      </c>
    </row>
    <row r="389" customFormat="false" ht="15" hidden="false" customHeight="false" outlineLevel="0" collapsed="false">
      <c r="A389" s="15" t="n">
        <v>45810</v>
      </c>
      <c r="B389" s="16" t="n">
        <v>131.45</v>
      </c>
      <c r="C389" s="16" t="n">
        <v>138.09</v>
      </c>
      <c r="D389" s="16" t="n">
        <v>52.95</v>
      </c>
      <c r="E389" s="10" t="n">
        <v>20</v>
      </c>
      <c r="F389" s="17" t="n">
        <f aca="false">C389-B389</f>
        <v>6.64000000000002</v>
      </c>
      <c r="G389" s="18" t="n">
        <f aca="false">(B389-B389/(1+E389/100)+D389)/B389</f>
        <v>0.569481425129961</v>
      </c>
      <c r="H389" s="18" t="n">
        <f aca="false">(C389-C389/(1+E389/100)+D389)/C389</f>
        <v>0.550112245636904</v>
      </c>
    </row>
    <row r="390" customFormat="false" ht="15" hidden="false" customHeight="false" outlineLevel="0" collapsed="false">
      <c r="A390" s="15" t="n">
        <v>45817</v>
      </c>
      <c r="B390" s="16" t="n">
        <v>131.35</v>
      </c>
      <c r="C390" s="16" t="n">
        <v>137.54</v>
      </c>
      <c r="D390" s="16" t="n">
        <v>52.95</v>
      </c>
      <c r="E390" s="10" t="n">
        <v>20</v>
      </c>
      <c r="F390" s="17" t="n">
        <f aca="false">C390-B390</f>
        <v>6.19</v>
      </c>
      <c r="G390" s="18" t="n">
        <f aca="false">(B390-B390/(1+E390/100)+D390)/B390</f>
        <v>0.569788097957112</v>
      </c>
      <c r="H390" s="18" t="n">
        <f aca="false">(C390-C390/(1+E390/100)+D390)/C390</f>
        <v>0.551645581891329</v>
      </c>
    </row>
    <row r="391" customFormat="false" ht="15" hidden="false" customHeight="false" outlineLevel="0" collapsed="false">
      <c r="A391" s="15" t="n">
        <v>45824</v>
      </c>
      <c r="B391" s="16" t="n">
        <v>131.39</v>
      </c>
      <c r="C391" s="16" t="n">
        <v>137.54</v>
      </c>
      <c r="D391" s="16" t="n">
        <v>52.95</v>
      </c>
      <c r="E391" s="10" t="n">
        <v>20</v>
      </c>
      <c r="F391" s="17" t="n">
        <f aca="false">C391-B391</f>
        <v>6.15000000000001</v>
      </c>
      <c r="G391" s="18" t="n">
        <f aca="false">(B391-B391/(1+E391/100)+D391)/B391</f>
        <v>0.569665372808687</v>
      </c>
      <c r="H391" s="18" t="n">
        <f aca="false">(C391-C391/(1+E391/100)+D391)/C391</f>
        <v>0.551645581891329</v>
      </c>
    </row>
    <row r="392" customFormat="false" ht="15" hidden="false" customHeight="false" outlineLevel="0" collapsed="false">
      <c r="A392" s="15" t="n">
        <v>45831</v>
      </c>
      <c r="B392" s="16" t="n">
        <v>132.33</v>
      </c>
      <c r="C392" s="16" t="n">
        <v>139.03</v>
      </c>
      <c r="D392" s="16" t="n">
        <v>52.95</v>
      </c>
      <c r="E392" s="10" t="n">
        <v>20</v>
      </c>
      <c r="F392" s="17" t="n">
        <f aca="false">C392-B392</f>
        <v>6.69999999999999</v>
      </c>
      <c r="G392" s="18" t="n">
        <f aca="false">(B392-B392/(1+E392/100)+D392)/B392</f>
        <v>0.566802690244087</v>
      </c>
      <c r="H392" s="18" t="n">
        <f aca="false">(C392-C392/(1+E392/100)+D392)/C392</f>
        <v>0.547519719964516</v>
      </c>
    </row>
    <row r="393" customFormat="false" ht="15" hidden="false" customHeight="false" outlineLevel="0" collapsed="false">
      <c r="A393" s="15" t="n">
        <v>45838</v>
      </c>
      <c r="B393" s="16" t="n">
        <v>132.95</v>
      </c>
      <c r="C393" s="16" t="n">
        <v>140.26</v>
      </c>
      <c r="D393" s="16" t="n">
        <v>52.95</v>
      </c>
      <c r="E393" s="10" t="n">
        <v>20</v>
      </c>
      <c r="F393" s="17" t="n">
        <f aca="false">C393-B393</f>
        <v>7.31</v>
      </c>
      <c r="G393" s="18" t="n">
        <f aca="false">(B393-B393/(1+E393/100)+D393)/B393</f>
        <v>0.564936692992353</v>
      </c>
      <c r="H393" s="18" t="n">
        <f aca="false">(C393-C393/(1+E393/100)+D393)/C393</f>
        <v>0.544179856457056</v>
      </c>
    </row>
    <row r="394" customFormat="false" ht="15" hidden="false" customHeight="false" outlineLevel="0" collapsed="false">
      <c r="A394" s="15" t="n">
        <v>45845</v>
      </c>
      <c r="B394" s="16" t="n">
        <v>133.19</v>
      </c>
      <c r="C394" s="16" t="n">
        <v>140.58</v>
      </c>
      <c r="D394" s="16" t="n">
        <v>52.95</v>
      </c>
      <c r="E394" s="10" t="n">
        <v>20</v>
      </c>
      <c r="F394" s="17" t="n">
        <f aca="false">C394-B394</f>
        <v>7.39000000000002</v>
      </c>
      <c r="G394" s="18" t="n">
        <f aca="false">(B394-B394/(1+E394/100)+D394)/B394</f>
        <v>0.564219035463123</v>
      </c>
      <c r="H394" s="18" t="n">
        <f aca="false">(C394-C394/(1+E394/100)+D394)/C394</f>
        <v>0.543320529236022</v>
      </c>
    </row>
    <row r="395" customFormat="false" ht="15" hidden="false" customHeight="false" outlineLevel="0" collapsed="false">
      <c r="A395" s="15" t="n">
        <v>45852</v>
      </c>
      <c r="B395" s="16" t="n">
        <v>133.95</v>
      </c>
      <c r="C395" s="16" t="n">
        <v>141.1</v>
      </c>
      <c r="D395" s="16" t="n">
        <v>52.95</v>
      </c>
      <c r="E395" s="10" t="n">
        <v>20</v>
      </c>
      <c r="F395" s="17" t="n">
        <f aca="false">C395-B395</f>
        <v>7.15000000000001</v>
      </c>
      <c r="G395" s="18" t="n">
        <f aca="false">(B395-B395/(1+E395/100)+D395)/B395</f>
        <v>0.561963419186264</v>
      </c>
      <c r="H395" s="18" t="n">
        <f aca="false">(C395-C395/(1+E395/100)+D395)/C395</f>
        <v>0.541932435624852</v>
      </c>
    </row>
    <row r="396" customFormat="false" ht="15" hidden="false" customHeight="false" outlineLevel="0" collapsed="false">
      <c r="A396" s="15" t="n">
        <v>45859</v>
      </c>
      <c r="B396" s="16" t="n">
        <v>134.09</v>
      </c>
      <c r="C396" s="16" t="n">
        <v>141.85</v>
      </c>
      <c r="D396" s="16" t="n">
        <v>52.95</v>
      </c>
      <c r="E396" s="10" t="n">
        <v>20</v>
      </c>
      <c r="F396" s="17" t="n">
        <f aca="false">C396-B396</f>
        <v>7.75999999999999</v>
      </c>
      <c r="G396" s="18" t="n">
        <f aca="false">(B396-B396/(1+E396/100)+D396)/B396</f>
        <v>0.561550699778756</v>
      </c>
      <c r="H396" s="18" t="n">
        <f aca="false">(C396-C396/(1+E396/100)+D396)/C396</f>
        <v>0.539948302197157</v>
      </c>
    </row>
    <row r="397" customFormat="false" ht="15" hidden="false" customHeight="false" outlineLevel="0" collapsed="false">
      <c r="A397" s="15" t="n">
        <v>45866</v>
      </c>
      <c r="B397" s="16" t="n">
        <v>134.24</v>
      </c>
      <c r="C397" s="16" t="n">
        <v>142</v>
      </c>
      <c r="D397" s="16" t="n">
        <v>52.95</v>
      </c>
      <c r="E397" s="10" t="n">
        <v>20</v>
      </c>
      <c r="F397" s="17" t="n">
        <f aca="false">C397-B397</f>
        <v>7.75999999999999</v>
      </c>
      <c r="G397" s="18" t="n">
        <f aca="false">(B397-B397/(1+E397/100)+D397)/B397</f>
        <v>0.561109455701232</v>
      </c>
      <c r="H397" s="18" t="n">
        <f aca="false">(C397-C397/(1+E397/100)+D397)/C397</f>
        <v>0.539553990610329</v>
      </c>
    </row>
    <row r="398" customFormat="false" ht="15" hidden="false" customHeight="false" outlineLevel="0" collapsed="false">
      <c r="A398" s="15" t="n">
        <v>45873</v>
      </c>
      <c r="B398" s="16" t="n">
        <v>134.3</v>
      </c>
      <c r="C398" s="16" t="n">
        <v>142.13</v>
      </c>
      <c r="D398" s="16" t="n">
        <v>52.95</v>
      </c>
      <c r="E398" s="10" t="n">
        <v>20</v>
      </c>
      <c r="F398" s="17" t="n">
        <f aca="false">C398-B398</f>
        <v>7.82999999999998</v>
      </c>
      <c r="G398" s="18" t="n">
        <f aca="false">(B398-B398/(1+E398/100)+D398)/B398</f>
        <v>0.560933234053115</v>
      </c>
      <c r="H398" s="18" t="n">
        <f aca="false">(C398-C398/(1+E398/100)+D398)/C398</f>
        <v>0.539212927132438</v>
      </c>
    </row>
    <row r="399" customFormat="false" ht="15" hidden="false" customHeight="false" outlineLevel="0" collapsed="false">
      <c r="A399" s="15" t="n">
        <v>45880</v>
      </c>
      <c r="B399" s="16" t="n">
        <v>134.39</v>
      </c>
      <c r="C399" s="16" t="n">
        <v>142.49</v>
      </c>
      <c r="D399" s="16" t="n">
        <v>52.95</v>
      </c>
      <c r="E399" s="10" t="n">
        <v>20</v>
      </c>
      <c r="F399" s="17" t="n">
        <f aca="false">C399-B399</f>
        <v>8.10000000000002</v>
      </c>
      <c r="G399" s="18" t="n">
        <f aca="false">(B399-B399/(1+E399/100)+D399)/B399</f>
        <v>0.560669196616812</v>
      </c>
      <c r="H399" s="18" t="n">
        <f aca="false">(C399-C399/(1+E399/100)+D399)/C399</f>
        <v>0.538271691580696</v>
      </c>
    </row>
    <row r="400" customFormat="false" ht="15" hidden="false" customHeight="false" outlineLevel="0" collapsed="false">
      <c r="A400" s="15" t="n">
        <v>45887</v>
      </c>
      <c r="B400" s="16" t="n">
        <v>134.3</v>
      </c>
      <c r="C400" s="16" t="n">
        <v>142.17</v>
      </c>
      <c r="D400" s="16" t="n">
        <v>52.95</v>
      </c>
      <c r="E400" s="10" t="n">
        <v>20</v>
      </c>
      <c r="F400" s="17" t="n">
        <f aca="false">C400-B400</f>
        <v>7.86999999999998</v>
      </c>
      <c r="G400" s="18" t="n">
        <f aca="false">(B400-B400/(1+E400/100)+D400)/B400</f>
        <v>0.560933234053115</v>
      </c>
      <c r="H400" s="18" t="n">
        <f aca="false">(C400-C400/(1+E400/100)+D400)/C400</f>
        <v>0.539108110009144</v>
      </c>
    </row>
    <row r="401" customFormat="false" ht="15" hidden="false" customHeight="false" outlineLevel="0" collapsed="false">
      <c r="A401" s="15" t="n">
        <v>45894</v>
      </c>
      <c r="B401" s="16" t="n">
        <v>133.91</v>
      </c>
      <c r="C401" s="16" t="n">
        <v>141.92</v>
      </c>
      <c r="D401" s="16" t="n">
        <v>52.95</v>
      </c>
      <c r="E401" s="10" t="n">
        <v>20</v>
      </c>
      <c r="F401" s="17" t="n">
        <f aca="false">C401-B401</f>
        <v>8.00999999999999</v>
      </c>
      <c r="G401" s="18" t="n">
        <f aca="false">(B401-B401/(1+E401/100)+D401)/B401</f>
        <v>0.562081497523212</v>
      </c>
      <c r="H401" s="18" t="n">
        <f aca="false">(C401-C401/(1+E401/100)+D401)/C401</f>
        <v>0.539764186396092</v>
      </c>
    </row>
    <row r="402" customFormat="false" ht="15" hidden="false" customHeight="false" outlineLevel="0" collapsed="false">
      <c r="A402" s="15" t="n">
        <v>45901</v>
      </c>
      <c r="B402" s="16" t="n">
        <v>133.86</v>
      </c>
      <c r="C402" s="16" t="n">
        <v>141.65</v>
      </c>
      <c r="D402" s="16" t="n">
        <v>52.95</v>
      </c>
      <c r="E402" s="10" t="n">
        <v>20</v>
      </c>
      <c r="F402" s="17" t="n">
        <f aca="false">C402-B402</f>
        <v>7.78999999999999</v>
      </c>
      <c r="G402" s="18" t="n">
        <f aca="false">(B402-B402/(1+E402/100)+D402)/B402</f>
        <v>0.56222919468101</v>
      </c>
      <c r="H402" s="18" t="n">
        <f aca="false">(C402-C402/(1+E402/100)+D402)/C402</f>
        <v>0.540475350041181</v>
      </c>
    </row>
    <row r="403" customFormat="false" ht="15" hidden="false" customHeight="false" outlineLevel="0" collapsed="false">
      <c r="A403" s="15" t="n">
        <v>45908</v>
      </c>
      <c r="B403" s="16" t="n">
        <v>133.72</v>
      </c>
      <c r="C403" s="16" t="n">
        <v>141.58</v>
      </c>
      <c r="D403" s="16" t="n">
        <v>52.95</v>
      </c>
      <c r="E403" s="10" t="n">
        <v>20</v>
      </c>
      <c r="F403" s="17" t="n">
        <f aca="false">C403-B403</f>
        <v>7.86000000000001</v>
      </c>
      <c r="G403" s="18" t="n">
        <f aca="false">(B403-B403/(1+E403/100)+D403)/B403</f>
        <v>0.562643334330442</v>
      </c>
      <c r="H403" s="18" t="n">
        <f aca="false">(C403-C403/(1+E403/100)+D403)/C403</f>
        <v>0.540660168573716</v>
      </c>
    </row>
    <row r="404" customFormat="false" ht="15" hidden="false" customHeight="false" outlineLevel="0" collapsed="false">
      <c r="A404" s="15" t="n">
        <v>45915</v>
      </c>
      <c r="B404" s="16" t="n">
        <v>133.81</v>
      </c>
      <c r="C404" s="16" t="n">
        <v>141.69</v>
      </c>
      <c r="D404" s="16" t="n">
        <v>52.95</v>
      </c>
      <c r="E404" s="10" t="n">
        <v>20</v>
      </c>
      <c r="F404" s="17" t="n">
        <f aca="false">C404-B404</f>
        <v>7.88</v>
      </c>
      <c r="G404" s="18" t="n">
        <f aca="false">(B404-B404/(1+E404/100)+D404)/B404</f>
        <v>0.562377002217074</v>
      </c>
      <c r="H404" s="18" t="n">
        <f aca="false">(C404-C404/(1+E404/100)+D404)/C404</f>
        <v>0.540369821441174</v>
      </c>
    </row>
    <row r="405" customFormat="false" ht="15" hidden="false" customHeight="false" outlineLevel="0" collapsed="false">
      <c r="A405" s="15" t="n">
        <v>45922</v>
      </c>
      <c r="B405" s="16" t="n">
        <v>134.15</v>
      </c>
      <c r="C405" s="16" t="n">
        <v>142.02</v>
      </c>
      <c r="D405" s="16" t="n">
        <v>52.95</v>
      </c>
      <c r="E405" s="10" t="n">
        <v>20</v>
      </c>
      <c r="F405" s="17" t="n">
        <f aca="false">C405-B405</f>
        <v>7.87</v>
      </c>
      <c r="G405" s="18" t="n">
        <f aca="false">(B405-B405/(1+E405/100)+D405)/B405</f>
        <v>0.56137408373711</v>
      </c>
      <c r="H405" s="18" t="n">
        <f aca="false">(C405-C405/(1+E405/100)+D405)/C405</f>
        <v>0.539501478664977</v>
      </c>
    </row>
    <row r="406" customFormat="false" ht="15" hidden="false" customHeight="false" outlineLevel="0" collapsed="false">
      <c r="A406" s="15" t="n">
        <v>45929</v>
      </c>
      <c r="B406" s="16" t="n">
        <v>134.36</v>
      </c>
      <c r="C406" s="16" t="n">
        <v>142.24</v>
      </c>
      <c r="D406" s="16" t="n">
        <v>52.95</v>
      </c>
      <c r="E406" s="10" t="n">
        <v>20</v>
      </c>
      <c r="F406" s="17" t="n">
        <f aca="false">C406-B406</f>
        <v>7.88</v>
      </c>
      <c r="G406" s="18" t="n">
        <f aca="false">(B406-B406/(1+E406/100)+D406)/B406</f>
        <v>0.560757169792597</v>
      </c>
      <c r="H406" s="18" t="n">
        <f aca="false">(C406-C406/(1+E406/100)+D406)/C406</f>
        <v>0.538924821897263</v>
      </c>
    </row>
    <row r="407" customFormat="false" ht="15" hidden="false" customHeight="false" outlineLevel="0" collapsed="false">
      <c r="A407" s="15" t="n">
        <v>45936</v>
      </c>
      <c r="B407" s="16" t="n">
        <v>134.76</v>
      </c>
      <c r="C407" s="16" t="n">
        <v>142.92</v>
      </c>
      <c r="D407" s="16" t="n">
        <v>52.95</v>
      </c>
      <c r="E407" s="10" t="n">
        <v>20</v>
      </c>
      <c r="F407" s="17" t="n">
        <f aca="false">C407-B407</f>
        <v>8.16</v>
      </c>
      <c r="G407" s="18" t="n">
        <f aca="false">(B407-B407/(1+E407/100)+D407)/B407</f>
        <v>0.559587414663105</v>
      </c>
      <c r="H407" s="18" t="n">
        <f aca="false">(C407-C407/(1+E407/100)+D407)/C407</f>
        <v>0.537153652392947</v>
      </c>
    </row>
    <row r="408" customFormat="false" ht="15" hidden="false" customHeight="false" outlineLevel="0" collapsed="false">
      <c r="A408" s="15" t="n">
        <v>45943</v>
      </c>
      <c r="B408" s="16" t="n">
        <v>134.81</v>
      </c>
      <c r="C408" s="16" t="n">
        <v>142.99</v>
      </c>
      <c r="D408" s="16" t="n">
        <v>52.95</v>
      </c>
      <c r="E408" s="10" t="n">
        <v>20</v>
      </c>
      <c r="F408" s="17" t="n">
        <f aca="false">C408-B408</f>
        <v>8.18000000000001</v>
      </c>
      <c r="G408" s="18" t="n">
        <f aca="false">(B408-B408/(1+E408/100)+D408)/B408</f>
        <v>0.559441683356823</v>
      </c>
      <c r="H408" s="18" t="n">
        <f aca="false">(C408-C408/(1+E408/100)+D408)/C408</f>
        <v>0.536972282443994</v>
      </c>
    </row>
    <row r="409" customFormat="false" ht="15" hidden="false" customHeight="false" outlineLevel="0" collapsed="false">
      <c r="A409" s="15" t="n">
        <v>45950</v>
      </c>
      <c r="B409" s="16" t="n">
        <v>134.69</v>
      </c>
      <c r="C409" s="16" t="n">
        <v>142.81</v>
      </c>
      <c r="D409" s="16" t="n">
        <v>52.95</v>
      </c>
      <c r="E409" s="10" t="n">
        <v>20</v>
      </c>
      <c r="F409" s="17" t="n">
        <f aca="false">C409-B409</f>
        <v>8.12000000000001</v>
      </c>
      <c r="G409" s="18" t="n">
        <f aca="false">(B409-B409/(1+E409/100)+D409)/B409</f>
        <v>0.559791620263816</v>
      </c>
      <c r="H409" s="18" t="n">
        <f aca="false">(C409-C409/(1+E409/100)+D409)/C409</f>
        <v>0.537439021543776</v>
      </c>
    </row>
    <row r="410" customFormat="false" ht="15" hidden="false" customHeight="false" outlineLevel="0" collapsed="false">
      <c r="A410" s="15" t="n">
        <v>45957</v>
      </c>
      <c r="B410" s="16" t="n">
        <v>134.4</v>
      </c>
      <c r="C410" s="16" t="n">
        <v>142.38</v>
      </c>
      <c r="D410" s="16" t="n">
        <v>52.95</v>
      </c>
      <c r="E410" s="10" t="n">
        <v>20</v>
      </c>
      <c r="F410" s="17" t="n">
        <f aca="false">C410-B410</f>
        <v>7.97999999999999</v>
      </c>
      <c r="G410" s="18" t="n">
        <f aca="false">(B410-B410/(1+E410/100)+D410)/B410</f>
        <v>0.560639880952381</v>
      </c>
      <c r="H410" s="18" t="n">
        <f aca="false">(C410-C410/(1+E410/100)+D410)/C410</f>
        <v>0.538558786346397</v>
      </c>
    </row>
    <row r="411" customFormat="false" ht="15" hidden="false" customHeight="false" outlineLevel="0" collapsed="false">
      <c r="A411" s="15" t="n">
        <v>45964</v>
      </c>
      <c r="B411" s="16" t="n">
        <v>134.38</v>
      </c>
      <c r="C411" s="16" t="n">
        <v>142.61</v>
      </c>
      <c r="D411" s="16" t="n">
        <v>52.95</v>
      </c>
      <c r="E411" s="10" t="n">
        <v>20</v>
      </c>
      <c r="F411" s="17" t="n">
        <f aca="false">C411-B411</f>
        <v>8.23000000000002</v>
      </c>
      <c r="G411" s="18" t="n">
        <f aca="false">(B411-B411/(1+E411/100)+D411)/B411</f>
        <v>0.560698516644342</v>
      </c>
      <c r="H411" s="18" t="n">
        <f aca="false">(C411-C411/(1+E411/100)+D411)/C411</f>
        <v>0.537959002407498</v>
      </c>
    </row>
    <row r="412" customFormat="false" ht="15" hidden="false" customHeight="false" outlineLevel="0" collapsed="false">
      <c r="A412" s="15" t="n">
        <v>45971</v>
      </c>
      <c r="B412" s="16" t="n">
        <v>134.65</v>
      </c>
      <c r="C412" s="16" t="n">
        <v>143.31</v>
      </c>
      <c r="D412" s="16" t="n">
        <v>52.95</v>
      </c>
      <c r="E412" s="10" t="n">
        <v>20</v>
      </c>
      <c r="F412" s="17" t="n">
        <f aca="false">C412-B412</f>
        <v>8.66</v>
      </c>
      <c r="G412" s="18" t="n">
        <f aca="false">(B412-B412/(1+E412/100)+D412)/B412</f>
        <v>0.559908404505508</v>
      </c>
      <c r="H412" s="18" t="n">
        <f aca="false">(C412-C412/(1+E412/100)+D412)/C412</f>
        <v>0.536145419021701</v>
      </c>
    </row>
    <row r="413" customFormat="false" ht="15" hidden="false" customHeight="false" outlineLevel="0" collapsed="false">
      <c r="A413" s="15" t="n">
        <v>45978</v>
      </c>
      <c r="B413" s="16" t="n">
        <v>135.07</v>
      </c>
      <c r="C413" s="16" t="n">
        <v>143.97</v>
      </c>
      <c r="D413" s="16" t="n">
        <v>52.95</v>
      </c>
      <c r="E413" s="10" t="n">
        <v>20</v>
      </c>
      <c r="F413" s="17" t="n">
        <f aca="false">C413-B413</f>
        <v>8.90000000000001</v>
      </c>
      <c r="G413" s="18" t="n">
        <f aca="false">(B413-B413/(1+E413/100)+D413)/B413</f>
        <v>0.558685619802078</v>
      </c>
      <c r="H413" s="18" t="n">
        <f aca="false">(C413-C413/(1+E413/100)+D413)/C413</f>
        <v>0.534451621865666</v>
      </c>
    </row>
    <row r="414" customFormat="false" ht="15" hidden="false" customHeight="false" outlineLevel="0" collapsed="false">
      <c r="A414" s="15" t="n">
        <v>45985</v>
      </c>
      <c r="B414" s="16" t="n">
        <v>136.07</v>
      </c>
      <c r="C414" s="16" t="n">
        <v>145.4</v>
      </c>
      <c r="D414" s="16" t="n">
        <v>52.95</v>
      </c>
      <c r="E414" s="10" t="n">
        <v>20</v>
      </c>
      <c r="F414" s="17" t="n">
        <f aca="false">C414-B414</f>
        <v>9.33000000000001</v>
      </c>
      <c r="G414" s="18" t="n">
        <f aca="false">(B414-B414/(1+E414/100)+D414)/B414</f>
        <v>0.555804610372112</v>
      </c>
      <c r="H414" s="18" t="n">
        <f aca="false">(C414-C414/(1+E414/100)+D414)/C414</f>
        <v>0.530834479596515</v>
      </c>
    </row>
    <row r="415" customFormat="false" ht="15" hidden="false" customHeight="false" outlineLevel="0" collapsed="false">
      <c r="A415" s="15" t="n">
        <v>45992</v>
      </c>
      <c r="B415" s="16" t="n">
        <v>136.61</v>
      </c>
      <c r="C415" s="16" t="n">
        <v>146.2</v>
      </c>
      <c r="D415" s="16" t="n">
        <v>52.95</v>
      </c>
      <c r="E415" s="10" t="n">
        <v>20</v>
      </c>
      <c r="F415" s="17" t="n">
        <f aca="false">C415-B415</f>
        <v>9.58999999999998</v>
      </c>
      <c r="G415" s="18" t="n">
        <f aca="false">(B415-B415/(1+E415/100)+D415)/B415</f>
        <v>0.554266403142766</v>
      </c>
      <c r="H415" s="18" t="n">
        <f aca="false">(C415-C415/(1+E415/100)+D415)/C415</f>
        <v>0.528841769265846</v>
      </c>
    </row>
    <row r="416" customFormat="false" ht="15" hidden="false" customHeight="false" outlineLevel="0" collapsed="false">
      <c r="A416" s="15" t="n">
        <v>45999</v>
      </c>
      <c r="B416" s="16" t="n">
        <v>136.68</v>
      </c>
      <c r="C416" s="16" t="n">
        <v>146.23</v>
      </c>
      <c r="D416" s="16" t="n">
        <v>52.95</v>
      </c>
      <c r="E416" s="10" t="n">
        <v>20</v>
      </c>
      <c r="F416" s="17" t="n">
        <f aca="false">C416-B416</f>
        <v>9.54999999999998</v>
      </c>
      <c r="G416" s="18" t="n">
        <f aca="false">(B416-B416/(1+E416/100)+D416)/B416</f>
        <v>0.554067895815043</v>
      </c>
      <c r="H416" s="18" t="n">
        <f aca="false">(C416-C416/(1+E416/100)+D416)/C416</f>
        <v>0.528767466776083</v>
      </c>
    </row>
    <row r="417" customFormat="false" ht="15" hidden="false" customHeight="false" outlineLevel="0" collapsed="false">
      <c r="A417" s="15" t="n">
        <v>46006</v>
      </c>
      <c r="B417" s="16" t="n">
        <v>136.83</v>
      </c>
      <c r="C417" s="16" t="n">
        <v>146.14</v>
      </c>
      <c r="D417" s="16" t="n">
        <v>52.95</v>
      </c>
      <c r="E417" s="10" t="n">
        <v>20</v>
      </c>
      <c r="F417" s="17" t="n">
        <f aca="false">C417-B417</f>
        <v>9.30999999999997</v>
      </c>
      <c r="G417" s="18" t="n">
        <f aca="false">(B417-B417/(1+E417/100)+D417)/B417</f>
        <v>0.553643206899072</v>
      </c>
      <c r="H417" s="18" t="n">
        <f aca="false">(C417-C417/(1+E417/100)+D417)/C417</f>
        <v>0.528990465763423</v>
      </c>
    </row>
    <row r="418" customFormat="false" ht="15" hidden="false" customHeight="false" outlineLevel="0" collapsed="false">
      <c r="A418" s="15" t="n">
        <v>46013</v>
      </c>
      <c r="B418" s="16" t="n">
        <v>136.23</v>
      </c>
      <c r="C418" s="16" t="n">
        <v>145.45</v>
      </c>
      <c r="D418" s="16" t="n">
        <v>52.95</v>
      </c>
      <c r="E418" s="10" t="n">
        <v>20</v>
      </c>
      <c r="F418" s="17" t="n">
        <f aca="false">C418-B418</f>
        <v>9.22</v>
      </c>
      <c r="G418" s="18" t="n">
        <f aca="false">(B418-B418/(1+E418/100)+D418)/B418</f>
        <v>0.55534757395581</v>
      </c>
      <c r="H418" s="18" t="n">
        <f aca="false">(C418-C418/(1+E418/100)+D418)/C418</f>
        <v>0.53070929299874</v>
      </c>
    </row>
    <row r="419" customFormat="false" ht="15" hidden="false" customHeight="false" outlineLevel="0" collapsed="false">
      <c r="A419" s="15" t="n">
        <v>46020</v>
      </c>
      <c r="B419" s="16" t="n">
        <v>135.34</v>
      </c>
      <c r="C419" s="16" t="n">
        <v>144.59</v>
      </c>
      <c r="D419" s="16" t="n">
        <v>52.95</v>
      </c>
      <c r="E419" s="10" t="n">
        <v>20</v>
      </c>
      <c r="F419" s="17" t="n">
        <f aca="false">C419-B419</f>
        <v>9.25</v>
      </c>
      <c r="G419" s="18" t="n">
        <f aca="false">(B419-B419/(1+E419/100)+D419)/B419</f>
        <v>0.557903551549185</v>
      </c>
      <c r="H419" s="18" t="n">
        <f aca="false">(C419-C419/(1+E419/100)+D419)/C419</f>
        <v>0.532874564861563</v>
      </c>
    </row>
    <row r="420" customFormat="false" ht="15" hidden="false" customHeight="false" outlineLevel="0" collapsed="false">
      <c r="A420" s="15" t="n">
        <v>46027</v>
      </c>
      <c r="B420" s="16" t="n">
        <v>134.9</v>
      </c>
      <c r="C420" s="16" t="n">
        <v>144.19</v>
      </c>
      <c r="D420" s="16" t="n">
        <v>52.95</v>
      </c>
      <c r="E420" s="10" t="n">
        <v>20</v>
      </c>
      <c r="F420" s="17" t="n">
        <f aca="false">C420-B420</f>
        <v>9.28999999999999</v>
      </c>
      <c r="G420" s="18" t="n">
        <f aca="false">(B420-B420/(1+E420/100)+D420)/B420</f>
        <v>0.559179639238942</v>
      </c>
      <c r="H420" s="18" t="n">
        <f aca="false">(C420-C420/(1+E420/100)+D420)/C420</f>
        <v>0.533890468594678</v>
      </c>
    </row>
    <row r="421" customFormat="false" ht="15" hidden="false" customHeight="false" outlineLevel="0" collapsed="false">
      <c r="A421" s="15" t="n">
        <v>46034</v>
      </c>
      <c r="B421" s="16" t="n">
        <v>133.43</v>
      </c>
      <c r="C421" s="16" t="n">
        <v>142.63</v>
      </c>
      <c r="D421" s="16" t="n">
        <v>52.95</v>
      </c>
      <c r="E421" s="10" t="n">
        <v>20</v>
      </c>
      <c r="F421" s="17" t="n">
        <f aca="false">C421-B421</f>
        <v>9.19999999999999</v>
      </c>
      <c r="G421" s="18" t="n">
        <f aca="false">(B421-B421/(1+E421/100)+D421)/B421</f>
        <v>0.563503959629269</v>
      </c>
      <c r="H421" s="18" t="n">
        <f aca="false">(C421-C421/(1+E421/100)+D421)/C421</f>
        <v>0.537906938699198</v>
      </c>
    </row>
    <row r="422" customFormat="false" ht="15" hidden="false" customHeight="false" outlineLevel="0" collapsed="false">
      <c r="A422" s="15" t="n">
        <v>46041</v>
      </c>
      <c r="B422" s="16" t="n">
        <v>132.64</v>
      </c>
      <c r="C422" s="16" t="n">
        <v>141.82</v>
      </c>
      <c r="D422" s="16" t="n">
        <v>52.95</v>
      </c>
      <c r="E422" s="10" t="n">
        <v>20</v>
      </c>
      <c r="F422" s="17" t="n">
        <f aca="false">C422-B422</f>
        <v>9.18000000000001</v>
      </c>
      <c r="G422" s="18" t="n">
        <f aca="false">(B422-B422/(1+E422/100)+D422)/B422</f>
        <v>0.565867511057499</v>
      </c>
      <c r="H422" s="18" t="n">
        <f aca="false">(C422-C422/(1+E422/100)+D422)/C422</f>
        <v>0.540027264607719</v>
      </c>
    </row>
    <row r="423" customFormat="false" ht="15" hidden="false" customHeight="false" outlineLevel="0" collapsed="false">
      <c r="A423" s="15" t="n">
        <v>46048</v>
      </c>
      <c r="B423" s="16" t="n">
        <v>132</v>
      </c>
      <c r="C423" s="16" t="n">
        <v>141.26</v>
      </c>
      <c r="D423" s="16" t="n">
        <v>52.95</v>
      </c>
      <c r="E423" s="10" t="n">
        <v>20</v>
      </c>
      <c r="F423" s="17" t="n">
        <f aca="false">C423-B423</f>
        <v>9.25999999999999</v>
      </c>
      <c r="G423" s="18" t="n">
        <f aca="false">(B423-B423/(1+E423/100)+D423)/B423</f>
        <v>0.56780303030303</v>
      </c>
      <c r="H423" s="18" t="n">
        <f aca="false">(C423-C423/(1+E423/100)+D423)/C423</f>
        <v>0.541507385907782</v>
      </c>
    </row>
    <row r="424" customFormat="false" ht="15" hidden="false" customHeight="false" outlineLevel="0" collapsed="false">
      <c r="A424" s="15" t="n">
        <v>46055</v>
      </c>
      <c r="B424" s="16" t="n">
        <v>131.62</v>
      </c>
      <c r="C424" s="16" t="n">
        <v>140.82</v>
      </c>
      <c r="D424" s="16" t="n">
        <v>52.95</v>
      </c>
      <c r="E424" s="10" t="n">
        <v>20</v>
      </c>
      <c r="F424" s="17" t="n">
        <f aca="false">C424-B424</f>
        <v>9.19999999999999</v>
      </c>
      <c r="G424" s="18" t="n">
        <f aca="false">(B424-B424/(1+E424/100)+D424)/B424</f>
        <v>0.568961150787621</v>
      </c>
      <c r="H424" s="18" t="n">
        <f aca="false">(C424-C424/(1+E424/100)+D424)/C424</f>
        <v>0.542678596790229</v>
      </c>
    </row>
    <row r="425" customFormat="false" ht="15" hidden="false" customHeight="false" outlineLevel="0" collapsed="false">
      <c r="A425" s="15" t="n">
        <v>46062</v>
      </c>
      <c r="B425" s="16" t="n">
        <v>131.46</v>
      </c>
      <c r="C425" s="16" t="n">
        <v>140.72</v>
      </c>
      <c r="D425" s="16" t="n">
        <v>52.95</v>
      </c>
      <c r="E425" s="10" t="n">
        <v>20</v>
      </c>
      <c r="F425" s="17" t="n">
        <f aca="false">C425-B425</f>
        <v>9.25999999999999</v>
      </c>
      <c r="G425" s="18" t="n">
        <f aca="false">(B425-B425/(1+E425/100)+D425)/B425</f>
        <v>0.569450783508292</v>
      </c>
      <c r="H425" s="18" t="n">
        <f aca="false">(C425-C425/(1+E425/100)+D425)/C425</f>
        <v>0.542945802539322</v>
      </c>
    </row>
    <row r="426" customFormat="false" ht="15" hidden="false" customHeight="false" outlineLevel="0" collapsed="false">
      <c r="A426" s="15" t="n">
        <v>46069</v>
      </c>
      <c r="B426" s="16" t="n">
        <v>131.6</v>
      </c>
      <c r="C426" s="16" t="n">
        <v>141.46</v>
      </c>
      <c r="D426" s="16" t="n">
        <v>52.95</v>
      </c>
      <c r="E426" s="10" t="n">
        <v>20</v>
      </c>
      <c r="F426" s="17" t="n">
        <f aca="false">C426-B426</f>
        <v>9.86000000000001</v>
      </c>
      <c r="G426" s="18" t="n">
        <f aca="false">(B426-B426/(1+E426/100)+D426)/B426</f>
        <v>0.569022289766971</v>
      </c>
      <c r="H426" s="18" t="n">
        <f aca="false">(C426-C426/(1+E426/100)+D426)/C426</f>
        <v>0.540977425891889</v>
      </c>
    </row>
    <row r="427" customFormat="false" ht="15" hidden="false" customHeight="false" outlineLevel="0" collapsed="false">
      <c r="A427" s="15" t="n">
        <v>46076</v>
      </c>
      <c r="B427" s="16" t="n">
        <v>131.71</v>
      </c>
      <c r="C427" s="16" t="n">
        <v>141.46</v>
      </c>
      <c r="D427" s="16" t="n">
        <v>52.95</v>
      </c>
      <c r="E427" s="10" t="n">
        <v>20</v>
      </c>
      <c r="F427" s="17" t="n">
        <f aca="false">C427-B427</f>
        <v>9.75</v>
      </c>
      <c r="G427" s="18" t="n">
        <f aca="false">(B427-B427/(1+E427/100)+D427)/B427</f>
        <v>0.568686255156531</v>
      </c>
      <c r="H427" s="18" t="n">
        <f aca="false">(C427-C427/(1+E427/100)+D427)/C427</f>
        <v>0.540977425891889</v>
      </c>
    </row>
    <row r="428" customFormat="false" ht="15" hidden="false" customHeight="false" outlineLevel="0" collapsed="false">
      <c r="A428" s="15" t="n">
        <v>46083</v>
      </c>
      <c r="B428" s="16" t="n">
        <v>132.14</v>
      </c>
      <c r="C428" s="16" t="n">
        <v>142.15</v>
      </c>
      <c r="D428" s="16" t="n">
        <v>52.95</v>
      </c>
      <c r="E428" s="10" t="n">
        <v>20</v>
      </c>
      <c r="F428" s="17" t="n">
        <f aca="false">C428-B428</f>
        <v>10.01</v>
      </c>
      <c r="G428" s="18" t="n">
        <f aca="false">(B428-B428/(1+E428/100)+D428)/B428</f>
        <v>0.56737803339892</v>
      </c>
      <c r="H428" s="18" t="n">
        <f aca="false">(C428-C428/(1+E428/100)+D428)/C428</f>
        <v>0.539160511197092</v>
      </c>
    </row>
    <row r="429" customFormat="false" ht="15" hidden="false" customHeight="false" outlineLevel="0" collapsed="false">
      <c r="A429" s="15" t="n">
        <v>46090</v>
      </c>
      <c r="B429" s="16" t="n">
        <v>135.67</v>
      </c>
      <c r="C429" s="16" t="n">
        <v>149.01</v>
      </c>
      <c r="D429" s="16" t="n">
        <v>52.95</v>
      </c>
      <c r="E429" s="10" t="n">
        <v>20</v>
      </c>
      <c r="F429" s="17" t="n">
        <f aca="false">C429-B429</f>
        <v>13.34</v>
      </c>
      <c r="G429" s="18" t="n">
        <f aca="false">(B429-B429/(1+E429/100)+D429)/B429</f>
        <v>0.556951917643301</v>
      </c>
      <c r="H429" s="18" t="n">
        <f aca="false">(C429-C429/(1+E429/100)+D429)/C429</f>
        <v>0.522011945507013</v>
      </c>
    </row>
    <row r="430" customFormat="false" ht="15" hidden="false" customHeight="false" outlineLevel="0" collapsed="false">
      <c r="A430" s="15" t="n">
        <v>46097</v>
      </c>
      <c r="B430" s="16" t="n">
        <v>140.28</v>
      </c>
      <c r="C430" s="16" t="n">
        <v>158.78</v>
      </c>
      <c r="D430" s="16" t="n">
        <v>52.95</v>
      </c>
      <c r="E430" s="10" t="n">
        <v>20</v>
      </c>
      <c r="F430" s="17" t="n">
        <f aca="false">C430-B430</f>
        <v>18.5</v>
      </c>
      <c r="G430" s="18" t="n">
        <f aca="false">(B430-B430/(1+E430/100)+D430)/B430</f>
        <v>0.544126033646992</v>
      </c>
      <c r="H430" s="18" t="n">
        <f aca="false">(C430-C430/(1+E430/100)+D430)/C430</f>
        <v>0.500146953856489</v>
      </c>
    </row>
    <row r="431" customFormat="false" ht="15" hidden="false" customHeight="false" outlineLevel="0" collapsed="false">
      <c r="A431" s="15" t="n">
        <v>46104</v>
      </c>
      <c r="B431" s="16" t="n">
        <v>144.16</v>
      </c>
      <c r="C431" s="16" t="n">
        <v>166.88</v>
      </c>
      <c r="D431" s="16" t="n">
        <v>52.95</v>
      </c>
      <c r="E431" s="10" t="n">
        <v>20</v>
      </c>
      <c r="F431" s="17" t="n">
        <f aca="false">C431-B431</f>
        <v>22.72</v>
      </c>
      <c r="G431" s="18" t="n">
        <f aca="false">(B431-B431/(1+E431/100)+D431)/B431</f>
        <v>0.533966888642249</v>
      </c>
      <c r="H431" s="18" t="n">
        <f aca="false">(C431-C431/(1+E431/100)+D431)/C431</f>
        <v>0.483960530520933</v>
      </c>
    </row>
    <row r="432" customFormat="false" ht="15" hidden="false" customHeight="false" outlineLevel="0" collapsed="false">
      <c r="A432" s="15" t="n">
        <v>46111</v>
      </c>
      <c r="B432" s="16" t="n">
        <v>148.78</v>
      </c>
      <c r="C432" s="16" t="n">
        <v>176.52</v>
      </c>
      <c r="D432" s="16" t="n">
        <v>52.95</v>
      </c>
      <c r="E432" s="10" t="n">
        <v>20</v>
      </c>
      <c r="F432" s="17" t="n">
        <f aca="false">C432-B432</f>
        <v>27.74</v>
      </c>
      <c r="G432" s="18" t="n">
        <f aca="false">(B432-B432/(1+E432/100)+D432)/B432</f>
        <v>0.52256127615719</v>
      </c>
      <c r="H432" s="18" t="n">
        <f aca="false">(C432-C432/(1+E432/100)+D432)/C432</f>
        <v>0.466632676184002</v>
      </c>
    </row>
    <row r="433" customFormat="false" ht="15" hidden="false" customHeight="false" outlineLevel="0" collapsed="false">
      <c r="A433" s="15" t="n">
        <v>46118</v>
      </c>
      <c r="B433" s="16" t="n">
        <v>154.65</v>
      </c>
      <c r="C433" s="16" t="n">
        <v>186.75</v>
      </c>
      <c r="D433" s="16" t="n">
        <v>52.95</v>
      </c>
      <c r="E433" s="10" t="n">
        <v>20</v>
      </c>
      <c r="F433" s="17" t="n">
        <f aca="false">C433-B433</f>
        <v>32.1</v>
      </c>
      <c r="G433" s="18" t="n">
        <f aca="false">(B433-B433/(1+E433/100)+D433)/B433</f>
        <v>0.509052699644358</v>
      </c>
      <c r="H433" s="18" t="n">
        <f aca="false">(C433-C433/(1+E433/100)+D433)/C433</f>
        <v>0.450200803212851</v>
      </c>
    </row>
    <row r="434" customFormat="false" ht="15" hidden="false" customHeight="false" outlineLevel="0" collapsed="false">
      <c r="A434" s="15" t="n">
        <v>46125</v>
      </c>
      <c r="B434" s="16" t="n">
        <v>158.17</v>
      </c>
      <c r="C434" s="16" t="n">
        <v>192.14</v>
      </c>
      <c r="D434" s="16" t="n">
        <v>52.95</v>
      </c>
      <c r="E434" s="10" t="n">
        <v>20</v>
      </c>
      <c r="F434" s="17" t="n">
        <f aca="false">C434-B434</f>
        <v>33.97</v>
      </c>
      <c r="G434" s="18" t="n">
        <f aca="false">(B434-B434/(1+E434/100)+D434)/B434</f>
        <v>0.501433057259067</v>
      </c>
      <c r="H434" s="18" t="n">
        <f aca="false">(C434-C434/(1+E434/100)+D434)/C434</f>
        <v>0.442246972693522</v>
      </c>
    </row>
    <row r="435" customFormat="false" ht="15" hidden="false" customHeight="false" outlineLevel="0" collapsed="false">
      <c r="A435" s="15" t="n">
        <v>46132</v>
      </c>
      <c r="B435" s="16" t="n">
        <v>157.62</v>
      </c>
      <c r="C435" s="16" t="n">
        <v>191.24</v>
      </c>
      <c r="D435" s="16" t="n">
        <v>52.95</v>
      </c>
      <c r="E435" s="10" t="n">
        <v>20</v>
      </c>
      <c r="F435" s="17" t="n">
        <f aca="false">C435-B435</f>
        <v>33.62</v>
      </c>
      <c r="G435" s="18" t="n">
        <f aca="false">(B435-B435/(1+E435/100)+D435)/B435</f>
        <v>0.502601192742038</v>
      </c>
      <c r="H435" s="18" t="n">
        <f aca="false">(C435-C435/(1+E435/100)+D435)/C435</f>
        <v>0.44354388900509</v>
      </c>
    </row>
    <row r="436" customFormat="false" ht="15" hidden="false" customHeight="false" outlineLevel="0" collapsed="false">
      <c r="A436" s="15" t="n">
        <v>46139</v>
      </c>
      <c r="B436" s="16" t="n">
        <v>156.99</v>
      </c>
      <c r="C436" s="16" t="n">
        <v>189.81</v>
      </c>
      <c r="D436" s="16" t="n">
        <v>52.95</v>
      </c>
      <c r="E436" s="10" t="n">
        <v>20</v>
      </c>
      <c r="F436" s="17" t="n">
        <f aca="false">C436-B436</f>
        <v>32.82</v>
      </c>
      <c r="G436" s="18" t="n">
        <f aca="false">(B436-B436/(1+E436/100)+D436)/B436</f>
        <v>0.503949296133512</v>
      </c>
      <c r="H436" s="18" t="n">
        <f aca="false">(C436-C436/(1+E436/100)+D436)/C436</f>
        <v>0.445629840366682</v>
      </c>
    </row>
    <row r="437" customFormat="false" ht="15" hidden="false" customHeight="false" outlineLevel="0" collapsed="false">
      <c r="A437" s="15" t="n">
        <v>46146</v>
      </c>
      <c r="B437" s="16" t="n">
        <v>156.82</v>
      </c>
      <c r="C437" s="16" t="n">
        <v>188.79</v>
      </c>
      <c r="D437" s="16" t="n">
        <v>52.95</v>
      </c>
      <c r="E437" s="10" t="n">
        <v>20</v>
      </c>
      <c r="F437" s="17" t="n">
        <f aca="false">C437-B437</f>
        <v>31.97</v>
      </c>
      <c r="G437" s="18" t="n">
        <f aca="false">(B437-B437/(1+E437/100)+D437)/B437</f>
        <v>0.504314925817285</v>
      </c>
      <c r="H437" s="18" t="n">
        <f aca="false">(C437-C437/(1+E437/100)+D437)/C437</f>
        <v>0.44713703056306</v>
      </c>
    </row>
    <row r="438" customFormat="false" ht="15" hidden="false" customHeight="false" outlineLevel="0" collapsed="false">
      <c r="A438" s="15" t="n">
        <v>46153</v>
      </c>
      <c r="B438" s="16" t="n">
        <v>156.81</v>
      </c>
      <c r="C438" s="16" t="n">
        <v>188.14</v>
      </c>
      <c r="D438" s="16" t="n">
        <v>52.95</v>
      </c>
      <c r="E438" s="10" t="n">
        <v>20</v>
      </c>
      <c r="F438" s="17" t="n">
        <f aca="false">C438-B438</f>
        <v>31.33</v>
      </c>
      <c r="G438" s="18" t="n">
        <f aca="false">(B438-B438/(1+E438/100)+D438)/B438</f>
        <v>0.504336458134048</v>
      </c>
      <c r="H438" s="18" t="n">
        <f aca="false">(C438-C438/(1+E438/100)+D438)/C438</f>
        <v>0.448106020339464</v>
      </c>
    </row>
    <row r="439" customFormat="false" ht="15" hidden="false" customHeight="false" outlineLevel="0" collapsed="false">
      <c r="A439" s="15" t="n">
        <v>46160</v>
      </c>
      <c r="B439" s="16" t="n">
        <v>157.39</v>
      </c>
      <c r="C439" s="16" t="n">
        <v>186.56</v>
      </c>
      <c r="D439" s="16" t="n">
        <v>52.95</v>
      </c>
      <c r="E439" s="10" t="n">
        <v>20</v>
      </c>
      <c r="F439" s="17" t="n">
        <f aca="false">C439-B439</f>
        <v>29.17</v>
      </c>
      <c r="G439" s="18" t="n">
        <f aca="false">(B439-B439/(1+E439/100)+D439)/B439</f>
        <v>0.503092106656501</v>
      </c>
      <c r="H439" s="18" t="n">
        <f aca="false">(C439-C439/(1+E439/100)+D439)/C439</f>
        <v>0.450489565465981</v>
      </c>
    </row>
    <row r="440" customFormat="false" ht="15" hidden="false" customHeight="false" outlineLevel="0" collapsed="false">
      <c r="A440" s="15" t="n">
        <v>46167</v>
      </c>
      <c r="B440" s="16" t="n">
        <v>158.78</v>
      </c>
      <c r="C440" s="16" t="n">
        <v>185.07</v>
      </c>
      <c r="D440" s="16" t="n">
        <v>52.95</v>
      </c>
      <c r="E440" s="10" t="n">
        <v>20</v>
      </c>
      <c r="F440" s="17" t="n">
        <f aca="false">C440-B440</f>
        <v>26.29</v>
      </c>
      <c r="G440" s="18" t="n">
        <f aca="false">(B440-B440/(1+E440/100)+D440)/B440</f>
        <v>0.500146953856489</v>
      </c>
      <c r="H440" s="18" t="n">
        <f aca="false">(C440-C440/(1+E440/100)+D440)/C440</f>
        <v>0.452774625817258</v>
      </c>
    </row>
    <row r="441" customFormat="false" ht="15" hidden="false" customHeight="false" outlineLevel="0" collapsed="false">
      <c r="A441" s="15" t="n">
        <v>46174</v>
      </c>
      <c r="B441" s="16" t="n">
        <v>158.74</v>
      </c>
      <c r="C441" s="16" t="n">
        <v>184.11</v>
      </c>
      <c r="D441" s="16" t="n">
        <v>52.95</v>
      </c>
      <c r="E441" s="10" t="n">
        <v>20</v>
      </c>
      <c r="F441" s="17" t="n">
        <f aca="false">C441-B441</f>
        <v>25.37</v>
      </c>
      <c r="G441" s="18" t="n">
        <f aca="false">(B441-B441/(1+E441/100)+D441)/B441</f>
        <v>0.500230985678888</v>
      </c>
      <c r="H441" s="18" t="n">
        <f aca="false">(C441-C441/(1+E441/100)+D441)/C441</f>
        <v>0.454266471131389</v>
      </c>
    </row>
    <row r="442" customFormat="false" ht="15" hidden="false" customHeight="false" outlineLevel="0" collapsed="false">
      <c r="A442" s="15" t="n">
        <v>46181</v>
      </c>
      <c r="B442" s="16" t="n">
        <v>157.95</v>
      </c>
      <c r="C442" s="16" t="n">
        <v>181.79</v>
      </c>
      <c r="D442" s="16" t="n">
        <v>52.95</v>
      </c>
      <c r="E442" s="10" t="n">
        <v>20</v>
      </c>
      <c r="F442" s="17" t="n">
        <f aca="false">C442-B442</f>
        <v>23.84</v>
      </c>
      <c r="G442" s="18" t="n">
        <f aca="false">(B442-B442/(1+E442/100)+D442)/B442</f>
        <v>0.501899335232669</v>
      </c>
      <c r="H442" s="18" t="n">
        <f aca="false">(C442-C442/(1+E442/100)+D442)/C442</f>
        <v>0.457936813539432</v>
      </c>
    </row>
    <row r="443" customFormat="false" ht="15" hidden="false" customHeight="false" outlineLevel="0" collapsed="false">
      <c r="A443" s="15" t="n">
        <v>46188</v>
      </c>
      <c r="B443" s="16" t="n">
        <v>155.54</v>
      </c>
      <c r="C443" s="16" t="n">
        <v>176.71</v>
      </c>
      <c r="D443" s="16" t="n">
        <v>52.95</v>
      </c>
      <c r="E443" s="10" t="n">
        <v>20</v>
      </c>
      <c r="F443" s="17" t="n">
        <f aca="false">C443-B443</f>
        <v>21.17</v>
      </c>
      <c r="G443" s="18" t="n">
        <f aca="false">(B443-B443/(1+E443/100)+D443)/B443</f>
        <v>0.507093566499507</v>
      </c>
      <c r="H443" s="18" t="n">
        <f aca="false">(C443-C443/(1+E443/100)+D443)/C443</f>
        <v>0.466310150340482</v>
      </c>
    </row>
    <row r="444" customFormat="false" ht="15" hidden="false" customHeight="false" outlineLevel="0" collapsed="false">
      <c r="A444" s="15" t="n">
        <v>46195</v>
      </c>
      <c r="B444" s="16" t="n">
        <v>153.26</v>
      </c>
      <c r="C444" s="16" t="n">
        <v>172.47</v>
      </c>
      <c r="D444" s="16" t="n">
        <v>52.95</v>
      </c>
      <c r="E444" s="10" t="n">
        <v>20</v>
      </c>
      <c r="F444" s="17" t="n">
        <f aca="false">C444-B444</f>
        <v>19.21</v>
      </c>
      <c r="G444" s="18" t="n">
        <f aca="false">(B444-B444/(1+E444/100)+D444)/B444</f>
        <v>0.512157988603245</v>
      </c>
      <c r="H444" s="18" t="n">
        <f aca="false">(C444-C444/(1+E444/100)+D444)/C444</f>
        <v>0.473676581434452</v>
      </c>
    </row>
    <row r="445" customFormat="false" ht="15" hidden="false" customHeight="false" outlineLevel="0" collapsed="false">
      <c r="A445" s="15" t="n">
        <v>46202</v>
      </c>
      <c r="B445" s="16" t="n">
        <v>151.02</v>
      </c>
      <c r="C445" s="16" t="n">
        <v>167.12</v>
      </c>
      <c r="D445" s="16" t="n">
        <v>52.95</v>
      </c>
      <c r="E445" s="10" t="n">
        <v>20</v>
      </c>
      <c r="F445" s="17" t="n">
        <f aca="false">C445-B445</f>
        <v>16.1</v>
      </c>
      <c r="G445" s="18" t="n">
        <f aca="false">(B445-B445/(1+E445/100)+D445)/B445</f>
        <v>0.517282479141836</v>
      </c>
      <c r="H445" s="18" t="n">
        <f aca="false">(C445-C445/(1+E445/100)+D445)/C445</f>
        <v>0.483504866762406</v>
      </c>
    </row>
    <row r="446" customFormat="false" ht="15" hidden="false" customHeight="false" outlineLevel="0" collapsed="false">
      <c r="A446" s="15" t="n">
        <v>46209</v>
      </c>
      <c r="B446" s="16" t="n">
        <v>149.8</v>
      </c>
      <c r="C446" s="16" t="n">
        <v>164.77</v>
      </c>
      <c r="D446" s="16" t="n">
        <v>52.95</v>
      </c>
      <c r="E446" s="10" t="n">
        <v>20</v>
      </c>
      <c r="F446" s="17" t="n">
        <f aca="false">C446-B446</f>
        <v>14.97</v>
      </c>
      <c r="G446" s="18" t="n">
        <f aca="false">(B446-B446/(1+E446/100)+D446)/B446</f>
        <v>0.520137961726747</v>
      </c>
      <c r="H446" s="18" t="n">
        <f aca="false">(C446-C446/(1+E446/100)+D446)/C446</f>
        <v>0.488023709817726</v>
      </c>
    </row>
    <row r="447" customFormat="false" ht="15" hidden="false" customHeight="false" outlineLevel="0" collapsed="false">
      <c r="A447" s="15" t="n">
        <v>46216</v>
      </c>
      <c r="B447" s="16" t="n">
        <v>150.53</v>
      </c>
      <c r="C447" s="16" t="n">
        <v>164.52</v>
      </c>
      <c r="D447" s="16" t="n">
        <v>52.95</v>
      </c>
      <c r="E447" s="10" t="n">
        <v>20</v>
      </c>
      <c r="F447" s="17" t="n">
        <f aca="false">C447-B447</f>
        <v>13.99</v>
      </c>
      <c r="G447" s="18" t="n">
        <f aca="false">(B447-B447/(1+E447/100)+D447)/B447</f>
        <v>0.518423791492283</v>
      </c>
      <c r="H447" s="18" t="n">
        <f aca="false">(C447-C447/(1+E447/100)+D447)/C447</f>
        <v>0.488512035010941</v>
      </c>
    </row>
    <row r="448" customFormat="false" ht="15" hidden="false" customHeight="false" outlineLevel="0" collapsed="false">
      <c r="A448" s="15" t="n">
        <v>46223</v>
      </c>
      <c r="B448" s="16" t="n">
        <v>152.29</v>
      </c>
      <c r="C448" s="16" t="n">
        <v>167.08</v>
      </c>
      <c r="D448" s="16" t="n">
        <v>52.95</v>
      </c>
      <c r="E448" s="10" t="n">
        <v>20</v>
      </c>
      <c r="F448" s="17" t="n">
        <f aca="false">C448-B448</f>
        <v>14.79</v>
      </c>
      <c r="G448" s="18" t="n">
        <f aca="false">(B448-B448/(1+E448/100)+D448)/B448</f>
        <v>0.514358570271631</v>
      </c>
      <c r="H448" s="18" t="n">
        <f aca="false">(C448-C448/(1+E448/100)+D448)/C448</f>
        <v>0.483580719814859</v>
      </c>
    </row>
    <row r="449" customFormat="false" ht="15" hidden="false" customHeight="false" outlineLevel="0" collapsed="false">
      <c r="A449" s="15" t="n">
        <v>46230</v>
      </c>
      <c r="B449" s="16" t="n">
        <v>156.13</v>
      </c>
      <c r="C449" s="16" t="n">
        <v>173.97</v>
      </c>
      <c r="D449" s="16" t="n">
        <v>52.95</v>
      </c>
      <c r="E449" s="10" t="n">
        <v>20</v>
      </c>
      <c r="F449" s="17" t="n">
        <f aca="false">C449-B449</f>
        <v>17.84</v>
      </c>
      <c r="G449" s="18" t="n">
        <f aca="false">(B449-B449/(1+E449/100)+D449)/B449</f>
        <v>0.505807126539849</v>
      </c>
      <c r="H449" s="18" t="n">
        <f aca="false">(C449-C449/(1+E449/100)+D449)/C449</f>
        <v>0.471029487842732</v>
      </c>
    </row>
    <row r="450" customFormat="false" ht="15" hidden="false" customHeight="false" outlineLevel="0" collapsed="false">
      <c r="A450" s="15" t="n">
        <v>46237</v>
      </c>
      <c r="B450" s="16" t="n">
        <v>159.89</v>
      </c>
      <c r="C450" s="16" t="n">
        <v>179.19</v>
      </c>
      <c r="D450" s="16" t="n">
        <v>52.95</v>
      </c>
      <c r="E450" s="10" t="n">
        <v>20</v>
      </c>
      <c r="F450" s="17" t="n">
        <f aca="false">C450-B450</f>
        <v>19.3</v>
      </c>
      <c r="G450" s="18" t="n">
        <f aca="false">(B450-B450/(1+E450/100)+D450)/B450</f>
        <v>0.497831842725207</v>
      </c>
      <c r="H450" s="18" t="n">
        <f aca="false">(C450-C450/(1+E450/100)+D450)/C450</f>
        <v>0.462163067135443</v>
      </c>
    </row>
    <row r="451" customFormat="false" ht="15" hidden="false" customHeight="false" outlineLevel="0" collapsed="false">
      <c r="A451" s="15" t="n">
        <v>46244</v>
      </c>
      <c r="B451" s="16" t="n">
        <v>162.15</v>
      </c>
      <c r="C451" s="16" t="n">
        <v>181.97</v>
      </c>
      <c r="D451" s="16" t="n">
        <v>52.95</v>
      </c>
      <c r="E451" s="10" t="n">
        <v>20</v>
      </c>
      <c r="F451" s="17" t="n">
        <f aca="false">C451-B451</f>
        <v>19.82</v>
      </c>
      <c r="G451" s="18" t="n">
        <f aca="false">(B451-B451/(1+E451/100)+D451)/B451</f>
        <v>0.493216157878508</v>
      </c>
      <c r="H451" s="18" t="n">
        <f aca="false">(C451-C451/(1+E451/100)+D451)/C451</f>
        <v>0.457648696671612</v>
      </c>
    </row>
    <row r="452" customFormat="false" ht="15" hidden="false" customHeight="false" outlineLevel="0" collapsed="false">
      <c r="A452" s="15" t="n">
        <v>46251</v>
      </c>
      <c r="B452" s="16" t="n">
        <v>161.8</v>
      </c>
      <c r="C452" s="16" t="n">
        <v>182.45</v>
      </c>
      <c r="D452" s="16" t="n">
        <v>52.95</v>
      </c>
      <c r="E452" s="10" t="n">
        <v>20</v>
      </c>
      <c r="F452" s="17" t="n">
        <f aca="false">C452-B452</f>
        <v>20.65</v>
      </c>
      <c r="G452" s="18" t="n">
        <f aca="false">(B452-B452/(1+E452/100)+D452)/B452</f>
        <v>0.493922538112897</v>
      </c>
      <c r="H452" s="18" t="n">
        <f aca="false">(C452-C452/(1+E452/100)+D452)/C452</f>
        <v>0.456883164337261</v>
      </c>
    </row>
    <row r="453" customFormat="false" ht="15" hidden="false" customHeight="false" outlineLevel="0" collapsed="false">
      <c r="A453" s="15" t="n">
        <v>46258</v>
      </c>
      <c r="B453" s="16" t="n">
        <v>161.63</v>
      </c>
      <c r="C453" s="16" t="n">
        <v>182.82</v>
      </c>
      <c r="D453" s="16" t="n">
        <v>52.95</v>
      </c>
      <c r="E453" s="10" t="n">
        <v>20</v>
      </c>
      <c r="F453" s="17" t="n">
        <f aca="false">C453-B453</f>
        <v>21.19</v>
      </c>
      <c r="G453" s="18" t="n">
        <f aca="false">(B453-B453/(1+E453/100)+D453)/B453</f>
        <v>0.49426674091031</v>
      </c>
      <c r="H453" s="18" t="n">
        <f aca="false">(C453-C453/(1+E453/100)+D453)/C453</f>
        <v>0.456295810086424</v>
      </c>
    </row>
    <row r="454" customFormat="false" ht="15" hidden="false" customHeight="false" outlineLevel="0" collapsed="false">
      <c r="A454" s="15" t="n">
        <v>46265</v>
      </c>
      <c r="B454" s="16" t="n">
        <v>161.61</v>
      </c>
      <c r="C454" s="16" t="n">
        <v>183.49</v>
      </c>
      <c r="D454" s="16" t="n">
        <v>52.95</v>
      </c>
      <c r="E454" s="10" t="n">
        <v>20</v>
      </c>
      <c r="F454" s="17" t="n">
        <f aca="false">C454-B454</f>
        <v>21.88</v>
      </c>
      <c r="G454" s="18" t="n">
        <f aca="false">(B454-B454/(1+E454/100)+D454)/B454</f>
        <v>0.494307282965163</v>
      </c>
      <c r="H454" s="18" t="n">
        <f aca="false">(C454-C454/(1+E454/100)+D454)/C454</f>
        <v>0.455238250949189</v>
      </c>
    </row>
    <row r="455" customFormat="false" ht="15" hidden="false" customHeight="false" outlineLevel="0" collapsed="false">
      <c r="A455" s="15" t="n">
        <v>46272</v>
      </c>
      <c r="B455" s="16" t="n">
        <v>164.4</v>
      </c>
      <c r="C455" s="16" t="n">
        <v>186.36</v>
      </c>
      <c r="D455" s="16" t="n">
        <v>52.95</v>
      </c>
      <c r="E455" s="10" t="n">
        <v>20</v>
      </c>
      <c r="F455" s="17" t="n">
        <f aca="false">C455-B455</f>
        <v>21.96</v>
      </c>
      <c r="G455" s="18" t="n">
        <f aca="false">(B455-B455/(1+E455/100)+D455)/B455</f>
        <v>0.48874695863747</v>
      </c>
      <c r="H455" s="18" t="n">
        <f aca="false">(C455-C455/(1+E455/100)+D455)/C455</f>
        <v>0.450794161837304</v>
      </c>
    </row>
    <row r="456" customFormat="false" ht="15" hidden="false" customHeight="false" outlineLevel="0" collapsed="false">
      <c r="A456" s="15" t="n">
        <v>46279</v>
      </c>
      <c r="B456" s="16" t="n">
        <v>168.14</v>
      </c>
      <c r="C456" s="16" t="n">
        <v>190.72</v>
      </c>
      <c r="D456" s="16" t="n">
        <v>52.95</v>
      </c>
      <c r="E456" s="10" t="n">
        <v>20</v>
      </c>
      <c r="F456" s="17" t="n">
        <f aca="false">C456-B456</f>
        <v>22.58</v>
      </c>
      <c r="G456" s="18" t="n">
        <f aca="false">(B456-B456/(1+E456/100)+D456)/B456</f>
        <v>0.481582807977479</v>
      </c>
      <c r="H456" s="18" t="n">
        <f aca="false">(C456-C456/(1+E456/100)+D456)/C456</f>
        <v>0.44429879753915</v>
      </c>
    </row>
    <row r="457" customFormat="false" ht="15" hidden="false" customHeight="false" outlineLevel="0" collapsed="false">
      <c r="A457" s="15" t="n">
        <v>46286</v>
      </c>
      <c r="B457" s="16" t="n">
        <v>172.01</v>
      </c>
      <c r="C457" s="16" t="n">
        <v>195.53</v>
      </c>
      <c r="D457" s="16" t="n">
        <v>52.95</v>
      </c>
      <c r="E457" s="10" t="n">
        <v>20</v>
      </c>
      <c r="F457" s="17" t="n">
        <f aca="false">C457-B457</f>
        <v>23.52</v>
      </c>
      <c r="G457" s="18" t="n">
        <f aca="false">(B457-B457/(1+E457/100)+D457)/B457</f>
        <v>0.474497606728291</v>
      </c>
      <c r="H457" s="18" t="n">
        <f aca="false">(C457-C457/(1+E457/100)+D457)/C457</f>
        <v>0.437469101075709</v>
      </c>
    </row>
    <row r="458" customFormat="false" ht="15" hidden="false" customHeight="false" outlineLevel="0" collapsed="false">
      <c r="A458" s="15" t="n">
        <v>46293</v>
      </c>
      <c r="B458" s="16" t="n">
        <v>173.46</v>
      </c>
      <c r="C458" s="16" t="n">
        <v>197.58</v>
      </c>
      <c r="D458" s="16" t="n">
        <v>52.95</v>
      </c>
      <c r="E458" s="10" t="n">
        <v>20</v>
      </c>
      <c r="F458" s="17" t="n">
        <f aca="false">C458-B458</f>
        <v>24.12</v>
      </c>
      <c r="G458" s="18" t="n">
        <f aca="false">(B458-B458/(1+E458/100)+D458)/B458</f>
        <v>0.471924362965525</v>
      </c>
      <c r="H458" s="18" t="n">
        <f aca="false">(C458-C458/(1+E458/100)+D458)/C458</f>
        <v>0.434659378479603</v>
      </c>
    </row>
    <row r="460" customFormat="false" ht="15" hidden="false" customHeight="false" outlineLevel="0" collapsed="false">
      <c r="A460" s="19"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5" min="4" style="0" width="16"/>
  </cols>
  <sheetData>
    <row r="1" customFormat="false" ht="42" hidden="false" customHeight="true" outlineLevel="0" collapsed="false">
      <c r="A1" s="14" t="s">
        <v>93</v>
      </c>
      <c r="B1" s="14" t="s">
        <v>94</v>
      </c>
      <c r="C1" s="14" t="s">
        <v>95</v>
      </c>
      <c r="D1" s="14" t="s">
        <v>96</v>
      </c>
      <c r="E1" s="14" t="s">
        <v>97</v>
      </c>
    </row>
    <row r="2" customFormat="false" ht="15" hidden="false" customHeight="false" outlineLevel="0" collapsed="false">
      <c r="A2" s="20" t="n">
        <v>43101</v>
      </c>
      <c r="B2" s="21" t="n">
        <f aca="false">AVERAGEIFS(Weekly_Data!$B$2:$B$458,Weekly_Data!$A$2:$A$458,"&gt;="&amp;$A2,Weekly_Data!$A$2:$A$458,"&lt;"&amp;EDATE($A2,1))</f>
        <v>120.972</v>
      </c>
      <c r="C2" s="21" t="n">
        <f aca="false">AVERAGEIFS(Weekly_Data!$C$2:$C$458,Weekly_Data!$A$2:$A$458,"&gt;="&amp;$A2,Weekly_Data!$A$2:$A$458,"&lt;"&amp;EDATE($A2,1))</f>
        <v>124.49</v>
      </c>
      <c r="D2" s="12" t="n">
        <f aca="false">COUNTIFS(Weekly_Data!$A$2:$A$458,"&gt;="&amp;$A2,Weekly_Data!$A$2:$A$458,"&lt;"&amp;EDATE($A2,1))</f>
        <v>5</v>
      </c>
      <c r="E2" s="17" t="n">
        <f aca="false">C2-B2</f>
        <v>3.518</v>
      </c>
    </row>
    <row r="3" customFormat="false" ht="15" hidden="false" customHeight="false" outlineLevel="0" collapsed="false">
      <c r="A3" s="20" t="n">
        <v>43132</v>
      </c>
      <c r="B3" s="21" t="n">
        <f aca="false">AVERAGEIFS(Weekly_Data!$B$2:$B$458,Weekly_Data!$A$2:$A$458,"&gt;="&amp;$A3,Weekly_Data!$A$2:$A$458,"&lt;"&amp;EDATE($A3,1))</f>
        <v>120.845</v>
      </c>
      <c r="C3" s="21" t="n">
        <f aca="false">AVERAGEIFS(Weekly_Data!$C$2:$C$458,Weekly_Data!$A$2:$A$458,"&gt;="&amp;$A3,Weekly_Data!$A$2:$A$458,"&lt;"&amp;EDATE($A3,1))</f>
        <v>124.4125</v>
      </c>
      <c r="D3" s="12" t="n">
        <f aca="false">COUNTIFS(Weekly_Data!$A$2:$A$458,"&gt;="&amp;$A3,Weekly_Data!$A$2:$A$458,"&lt;"&amp;EDATE($A3,1))</f>
        <v>4</v>
      </c>
      <c r="E3" s="17" t="n">
        <f aca="false">C3-B3</f>
        <v>3.5675</v>
      </c>
    </row>
    <row r="4" customFormat="false" ht="15" hidden="false" customHeight="false" outlineLevel="0" collapsed="false">
      <c r="A4" s="20" t="n">
        <v>43160</v>
      </c>
      <c r="B4" s="21" t="n">
        <f aca="false">AVERAGEIFS(Weekly_Data!$B$2:$B$458,Weekly_Data!$A$2:$A$458,"&gt;="&amp;$A4,Weekly_Data!$A$2:$A$458,"&lt;"&amp;EDATE($A4,1))</f>
        <v>119.2</v>
      </c>
      <c r="C4" s="21" t="n">
        <f aca="false">AVERAGEIFS(Weekly_Data!$C$2:$C$458,Weekly_Data!$A$2:$A$458,"&gt;="&amp;$A4,Weekly_Data!$A$2:$A$458,"&lt;"&amp;EDATE($A4,1))</f>
        <v>122.905</v>
      </c>
      <c r="D4" s="12" t="n">
        <f aca="false">COUNTIFS(Weekly_Data!$A$2:$A$458,"&gt;="&amp;$A4,Weekly_Data!$A$2:$A$458,"&lt;"&amp;EDATE($A4,1))</f>
        <v>4</v>
      </c>
      <c r="E4" s="17" t="n">
        <f aca="false">C4-B4</f>
        <v>3.705</v>
      </c>
    </row>
    <row r="5" customFormat="false" ht="15" hidden="false" customHeight="false" outlineLevel="0" collapsed="false">
      <c r="A5" s="20" t="n">
        <v>43191</v>
      </c>
      <c r="B5" s="21" t="n">
        <f aca="false">AVERAGEIFS(Weekly_Data!$B$2:$B$458,Weekly_Data!$A$2:$A$458,"&gt;="&amp;$A5,Weekly_Data!$A$2:$A$458,"&lt;"&amp;EDATE($A5,1))</f>
        <v>120.722</v>
      </c>
      <c r="C5" s="21" t="n">
        <f aca="false">AVERAGEIFS(Weekly_Data!$C$2:$C$458,Weekly_Data!$A$2:$A$458,"&gt;="&amp;$A5,Weekly_Data!$A$2:$A$458,"&lt;"&amp;EDATE($A5,1))</f>
        <v>124.464</v>
      </c>
      <c r="D5" s="12" t="n">
        <f aca="false">COUNTIFS(Weekly_Data!$A$2:$A$458,"&gt;="&amp;$A5,Weekly_Data!$A$2:$A$458,"&lt;"&amp;EDATE($A5,1))</f>
        <v>5</v>
      </c>
      <c r="E5" s="17" t="n">
        <f aca="false">C5-B5</f>
        <v>3.742</v>
      </c>
    </row>
    <row r="6" customFormat="false" ht="15" hidden="false" customHeight="false" outlineLevel="0" collapsed="false">
      <c r="A6" s="20" t="n">
        <v>43221</v>
      </c>
      <c r="B6" s="21" t="n">
        <f aca="false">AVERAGEIFS(Weekly_Data!$B$2:$B$458,Weekly_Data!$A$2:$A$458,"&gt;="&amp;$A6,Weekly_Data!$A$2:$A$458,"&lt;"&amp;EDATE($A6,1))</f>
        <v>125.275</v>
      </c>
      <c r="C6" s="21" t="n">
        <f aca="false">AVERAGEIFS(Weekly_Data!$C$2:$C$458,Weekly_Data!$A$2:$A$458,"&gt;="&amp;$A6,Weekly_Data!$A$2:$A$458,"&lt;"&amp;EDATE($A6,1))</f>
        <v>129.2425</v>
      </c>
      <c r="D6" s="12" t="n">
        <f aca="false">COUNTIFS(Weekly_Data!$A$2:$A$458,"&gt;="&amp;$A6,Weekly_Data!$A$2:$A$458,"&lt;"&amp;EDATE($A6,1))</f>
        <v>4</v>
      </c>
      <c r="E6" s="17" t="n">
        <f aca="false">C6-B6</f>
        <v>3.9675</v>
      </c>
    </row>
    <row r="7" customFormat="false" ht="15" hidden="false" customHeight="false" outlineLevel="0" collapsed="false">
      <c r="A7" s="20" t="n">
        <v>43252</v>
      </c>
      <c r="B7" s="21" t="n">
        <f aca="false">AVERAGEIFS(Weekly_Data!$B$2:$B$458,Weekly_Data!$A$2:$A$458,"&gt;="&amp;$A7,Weekly_Data!$A$2:$A$458,"&lt;"&amp;EDATE($A7,1))</f>
        <v>128.035</v>
      </c>
      <c r="C7" s="21" t="n">
        <f aca="false">AVERAGEIFS(Weekly_Data!$C$2:$C$458,Weekly_Data!$A$2:$A$458,"&gt;="&amp;$A7,Weekly_Data!$A$2:$A$458,"&lt;"&amp;EDATE($A7,1))</f>
        <v>132.0525</v>
      </c>
      <c r="D7" s="12" t="n">
        <f aca="false">COUNTIFS(Weekly_Data!$A$2:$A$458,"&gt;="&amp;$A7,Weekly_Data!$A$2:$A$458,"&lt;"&amp;EDATE($A7,1))</f>
        <v>4</v>
      </c>
      <c r="E7" s="17" t="n">
        <f aca="false">C7-B7</f>
        <v>4.01750000000001</v>
      </c>
    </row>
    <row r="8" customFormat="false" ht="15" hidden="false" customHeight="false" outlineLevel="0" collapsed="false">
      <c r="A8" s="20" t="n">
        <v>43282</v>
      </c>
      <c r="B8" s="21" t="n">
        <f aca="false">AVERAGEIFS(Weekly_Data!$B$2:$B$458,Weekly_Data!$A$2:$A$458,"&gt;="&amp;$A8,Weekly_Data!$A$2:$A$458,"&lt;"&amp;EDATE($A8,1))</f>
        <v>127.204</v>
      </c>
      <c r="C8" s="21" t="n">
        <f aca="false">AVERAGEIFS(Weekly_Data!$C$2:$C$458,Weekly_Data!$A$2:$A$458,"&gt;="&amp;$A8,Weekly_Data!$A$2:$A$458,"&lt;"&amp;EDATE($A8,1))</f>
        <v>131.61</v>
      </c>
      <c r="D8" s="12" t="n">
        <f aca="false">COUNTIFS(Weekly_Data!$A$2:$A$458,"&gt;="&amp;$A8,Weekly_Data!$A$2:$A$458,"&lt;"&amp;EDATE($A8,1))</f>
        <v>5</v>
      </c>
      <c r="E8" s="17" t="n">
        <f aca="false">C8-B8</f>
        <v>4.40599999999999</v>
      </c>
    </row>
    <row r="9" customFormat="false" ht="15" hidden="false" customHeight="false" outlineLevel="0" collapsed="false">
      <c r="A9" s="20" t="n">
        <v>43313</v>
      </c>
      <c r="B9" s="21" t="n">
        <f aca="false">AVERAGEIFS(Weekly_Data!$B$2:$B$458,Weekly_Data!$A$2:$A$458,"&gt;="&amp;$A9,Weekly_Data!$A$2:$A$458,"&lt;"&amp;EDATE($A9,1))</f>
        <v>128.595</v>
      </c>
      <c r="C9" s="21" t="n">
        <f aca="false">AVERAGEIFS(Weekly_Data!$C$2:$C$458,Weekly_Data!$A$2:$A$458,"&gt;="&amp;$A9,Weekly_Data!$A$2:$A$458,"&lt;"&amp;EDATE($A9,1))</f>
        <v>132.78</v>
      </c>
      <c r="D9" s="12" t="n">
        <f aca="false">COUNTIFS(Weekly_Data!$A$2:$A$458,"&gt;="&amp;$A9,Weekly_Data!$A$2:$A$458,"&lt;"&amp;EDATE($A9,1))</f>
        <v>4</v>
      </c>
      <c r="E9" s="17" t="n">
        <f aca="false">C9-B9</f>
        <v>4.185</v>
      </c>
    </row>
    <row r="10" customFormat="false" ht="15" hidden="false" customHeight="false" outlineLevel="0" collapsed="false">
      <c r="A10" s="20" t="n">
        <v>43344</v>
      </c>
      <c r="B10" s="21" t="n">
        <f aca="false">AVERAGEIFS(Weekly_Data!$B$2:$B$458,Weekly_Data!$A$2:$A$458,"&gt;="&amp;$A10,Weekly_Data!$A$2:$A$458,"&lt;"&amp;EDATE($A10,1))</f>
        <v>130.295</v>
      </c>
      <c r="C10" s="21" t="n">
        <f aca="false">AVERAGEIFS(Weekly_Data!$C$2:$C$458,Weekly_Data!$A$2:$A$458,"&gt;="&amp;$A10,Weekly_Data!$A$2:$A$458,"&lt;"&amp;EDATE($A10,1))</f>
        <v>134.33</v>
      </c>
      <c r="D10" s="12" t="n">
        <f aca="false">COUNTIFS(Weekly_Data!$A$2:$A$458,"&gt;="&amp;$A10,Weekly_Data!$A$2:$A$458,"&lt;"&amp;EDATE($A10,1))</f>
        <v>4</v>
      </c>
      <c r="E10" s="17" t="n">
        <f aca="false">C10-B10</f>
        <v>4.03499999999997</v>
      </c>
    </row>
    <row r="11" customFormat="false" ht="15" hidden="false" customHeight="false" outlineLevel="0" collapsed="false">
      <c r="A11" s="20" t="n">
        <v>43374</v>
      </c>
      <c r="B11" s="21" t="n">
        <f aca="false">AVERAGEIFS(Weekly_Data!$B$2:$B$458,Weekly_Data!$A$2:$A$458,"&gt;="&amp;$A11,Weekly_Data!$A$2:$A$458,"&lt;"&amp;EDATE($A11,1))</f>
        <v>130.512</v>
      </c>
      <c r="C11" s="21" t="n">
        <f aca="false">AVERAGEIFS(Weekly_Data!$C$2:$C$458,Weekly_Data!$A$2:$A$458,"&gt;="&amp;$A11,Weekly_Data!$A$2:$A$458,"&lt;"&amp;EDATE($A11,1))</f>
        <v>136.188</v>
      </c>
      <c r="D11" s="12" t="n">
        <f aca="false">COUNTIFS(Weekly_Data!$A$2:$A$458,"&gt;="&amp;$A11,Weekly_Data!$A$2:$A$458,"&lt;"&amp;EDATE($A11,1))</f>
        <v>5</v>
      </c>
      <c r="E11" s="17" t="n">
        <f aca="false">C11-B11</f>
        <v>5.67600000000002</v>
      </c>
    </row>
    <row r="12" customFormat="false" ht="15" hidden="false" customHeight="false" outlineLevel="0" collapsed="false">
      <c r="A12" s="20" t="n">
        <v>43405</v>
      </c>
      <c r="B12" s="21" t="n">
        <f aca="false">AVERAGEIFS(Weekly_Data!$B$2:$B$458,Weekly_Data!$A$2:$A$458,"&gt;="&amp;$A12,Weekly_Data!$A$2:$A$458,"&lt;"&amp;EDATE($A12,1))</f>
        <v>128.055</v>
      </c>
      <c r="C12" s="21" t="n">
        <f aca="false">AVERAGEIFS(Weekly_Data!$C$2:$C$458,Weekly_Data!$A$2:$A$458,"&gt;="&amp;$A12,Weekly_Data!$A$2:$A$458,"&lt;"&amp;EDATE($A12,1))</f>
        <v>136.48</v>
      </c>
      <c r="D12" s="12" t="n">
        <f aca="false">COUNTIFS(Weekly_Data!$A$2:$A$458,"&gt;="&amp;$A12,Weekly_Data!$A$2:$A$458,"&lt;"&amp;EDATE($A12,1))</f>
        <v>4</v>
      </c>
      <c r="E12" s="17" t="n">
        <f aca="false">C12-B12</f>
        <v>8.42500000000001</v>
      </c>
    </row>
    <row r="13" customFormat="false" ht="15" hidden="false" customHeight="false" outlineLevel="0" collapsed="false">
      <c r="A13" s="20" t="n">
        <v>43435</v>
      </c>
      <c r="B13" s="21" t="n">
        <f aca="false">AVERAGEIFS(Weekly_Data!$B$2:$B$458,Weekly_Data!$A$2:$A$458,"&gt;="&amp;$A13,Weekly_Data!$A$2:$A$458,"&lt;"&amp;EDATE($A13,1))</f>
        <v>121.696</v>
      </c>
      <c r="C13" s="21" t="n">
        <f aca="false">AVERAGEIFS(Weekly_Data!$C$2:$C$458,Weekly_Data!$A$2:$A$458,"&gt;="&amp;$A13,Weekly_Data!$A$2:$A$458,"&lt;"&amp;EDATE($A13,1))</f>
        <v>131.862</v>
      </c>
      <c r="D13" s="12" t="n">
        <f aca="false">COUNTIFS(Weekly_Data!$A$2:$A$458,"&gt;="&amp;$A13,Weekly_Data!$A$2:$A$458,"&lt;"&amp;EDATE($A13,1))</f>
        <v>5</v>
      </c>
      <c r="E13" s="17" t="n">
        <f aca="false">C13-B13</f>
        <v>10.166</v>
      </c>
    </row>
    <row r="14" customFormat="false" ht="15" hidden="false" customHeight="false" outlineLevel="0" collapsed="false">
      <c r="A14" s="20" t="n">
        <v>43466</v>
      </c>
      <c r="B14" s="21" t="n">
        <f aca="false">AVERAGEIFS(Weekly_Data!$B$2:$B$458,Weekly_Data!$A$2:$A$458,"&gt;="&amp;$A14,Weekly_Data!$A$2:$A$458,"&lt;"&amp;EDATE($A14,1))</f>
        <v>119.5525</v>
      </c>
      <c r="C14" s="21" t="n">
        <f aca="false">AVERAGEIFS(Weekly_Data!$C$2:$C$458,Weekly_Data!$A$2:$A$458,"&gt;="&amp;$A14,Weekly_Data!$A$2:$A$458,"&lt;"&amp;EDATE($A14,1))</f>
        <v>129.455</v>
      </c>
      <c r="D14" s="12" t="n">
        <f aca="false">COUNTIFS(Weekly_Data!$A$2:$A$458,"&gt;="&amp;$A14,Weekly_Data!$A$2:$A$458,"&lt;"&amp;EDATE($A14,1))</f>
        <v>4</v>
      </c>
      <c r="E14" s="17" t="n">
        <f aca="false">C14-B14</f>
        <v>9.90249999999998</v>
      </c>
    </row>
    <row r="15" customFormat="false" ht="15" hidden="false" customHeight="false" outlineLevel="0" collapsed="false">
      <c r="A15" s="20" t="n">
        <v>43497</v>
      </c>
      <c r="B15" s="21" t="n">
        <f aca="false">AVERAGEIFS(Weekly_Data!$B$2:$B$458,Weekly_Data!$A$2:$A$458,"&gt;="&amp;$A15,Weekly_Data!$A$2:$A$458,"&lt;"&amp;EDATE($A15,1))</f>
        <v>119.0925</v>
      </c>
      <c r="C15" s="21" t="n">
        <f aca="false">AVERAGEIFS(Weekly_Data!$C$2:$C$458,Weekly_Data!$A$2:$A$458,"&gt;="&amp;$A15,Weekly_Data!$A$2:$A$458,"&lt;"&amp;EDATE($A15,1))</f>
        <v>129.2975</v>
      </c>
      <c r="D15" s="12" t="n">
        <f aca="false">COUNTIFS(Weekly_Data!$A$2:$A$458,"&gt;="&amp;$A15,Weekly_Data!$A$2:$A$458,"&lt;"&amp;EDATE($A15,1))</f>
        <v>4</v>
      </c>
      <c r="E15" s="17" t="n">
        <f aca="false">C15-B15</f>
        <v>10.205</v>
      </c>
    </row>
    <row r="16" customFormat="false" ht="15" hidden="false" customHeight="false" outlineLevel="0" collapsed="false">
      <c r="A16" s="20" t="n">
        <v>43525</v>
      </c>
      <c r="B16" s="21" t="n">
        <f aca="false">AVERAGEIFS(Weekly_Data!$B$2:$B$458,Weekly_Data!$A$2:$A$458,"&gt;="&amp;$A16,Weekly_Data!$A$2:$A$458,"&lt;"&amp;EDATE($A16,1))</f>
        <v>120.2825</v>
      </c>
      <c r="C16" s="21" t="n">
        <f aca="false">AVERAGEIFS(Weekly_Data!$C$2:$C$458,Weekly_Data!$A$2:$A$458,"&gt;="&amp;$A16,Weekly_Data!$A$2:$A$458,"&lt;"&amp;EDATE($A16,1))</f>
        <v>130.71</v>
      </c>
      <c r="D16" s="12" t="n">
        <f aca="false">COUNTIFS(Weekly_Data!$A$2:$A$458,"&gt;="&amp;$A16,Weekly_Data!$A$2:$A$458,"&lt;"&amp;EDATE($A16,1))</f>
        <v>4</v>
      </c>
      <c r="E16" s="17" t="n">
        <f aca="false">C16-B16</f>
        <v>10.4275</v>
      </c>
    </row>
    <row r="17" customFormat="false" ht="15" hidden="false" customHeight="false" outlineLevel="0" collapsed="false">
      <c r="A17" s="20" t="n">
        <v>43556</v>
      </c>
      <c r="B17" s="21" t="n">
        <f aca="false">AVERAGEIFS(Weekly_Data!$B$2:$B$458,Weekly_Data!$A$2:$A$458,"&gt;="&amp;$A17,Weekly_Data!$A$2:$A$458,"&lt;"&amp;EDATE($A17,1))</f>
        <v>124.06</v>
      </c>
      <c r="C17" s="21" t="n">
        <f aca="false">AVERAGEIFS(Weekly_Data!$C$2:$C$458,Weekly_Data!$A$2:$A$458,"&gt;="&amp;$A17,Weekly_Data!$A$2:$A$458,"&lt;"&amp;EDATE($A17,1))</f>
        <v>133.022</v>
      </c>
      <c r="D17" s="12" t="n">
        <f aca="false">COUNTIFS(Weekly_Data!$A$2:$A$458,"&gt;="&amp;$A17,Weekly_Data!$A$2:$A$458,"&lt;"&amp;EDATE($A17,1))</f>
        <v>5</v>
      </c>
      <c r="E17" s="17" t="n">
        <f aca="false">C17-B17</f>
        <v>8.962</v>
      </c>
    </row>
    <row r="18" customFormat="false" ht="15" hidden="false" customHeight="false" outlineLevel="0" collapsed="false">
      <c r="A18" s="20" t="n">
        <v>43586</v>
      </c>
      <c r="B18" s="21" t="n">
        <f aca="false">AVERAGEIFS(Weekly_Data!$B$2:$B$458,Weekly_Data!$A$2:$A$458,"&gt;="&amp;$A18,Weekly_Data!$A$2:$A$458,"&lt;"&amp;EDATE($A18,1))</f>
        <v>128.28</v>
      </c>
      <c r="C18" s="21" t="n">
        <f aca="false">AVERAGEIFS(Weekly_Data!$C$2:$C$458,Weekly_Data!$A$2:$A$458,"&gt;="&amp;$A18,Weekly_Data!$A$2:$A$458,"&lt;"&amp;EDATE($A18,1))</f>
        <v>135.76</v>
      </c>
      <c r="D18" s="12" t="n">
        <f aca="false">COUNTIFS(Weekly_Data!$A$2:$A$458,"&gt;="&amp;$A18,Weekly_Data!$A$2:$A$458,"&lt;"&amp;EDATE($A18,1))</f>
        <v>4</v>
      </c>
      <c r="E18" s="17" t="n">
        <f aca="false">C18-B18</f>
        <v>7.47999999999999</v>
      </c>
    </row>
    <row r="19" customFormat="false" ht="15" hidden="false" customHeight="false" outlineLevel="0" collapsed="false">
      <c r="A19" s="20" t="n">
        <v>43617</v>
      </c>
      <c r="B19" s="21" t="n">
        <f aca="false">AVERAGEIFS(Weekly_Data!$B$2:$B$458,Weekly_Data!$A$2:$A$458,"&gt;="&amp;$A19,Weekly_Data!$A$2:$A$458,"&lt;"&amp;EDATE($A19,1))</f>
        <v>128.155</v>
      </c>
      <c r="C19" s="21" t="n">
        <f aca="false">AVERAGEIFS(Weekly_Data!$C$2:$C$458,Weekly_Data!$A$2:$A$458,"&gt;="&amp;$A19,Weekly_Data!$A$2:$A$458,"&lt;"&amp;EDATE($A19,1))</f>
        <v>134.34</v>
      </c>
      <c r="D19" s="12" t="n">
        <f aca="false">COUNTIFS(Weekly_Data!$A$2:$A$458,"&gt;="&amp;$A19,Weekly_Data!$A$2:$A$458,"&lt;"&amp;EDATE($A19,1))</f>
        <v>4</v>
      </c>
      <c r="E19" s="17" t="n">
        <f aca="false">C19-B19</f>
        <v>6.185</v>
      </c>
    </row>
    <row r="20" customFormat="false" ht="15" hidden="false" customHeight="false" outlineLevel="0" collapsed="false">
      <c r="A20" s="20" t="n">
        <v>43647</v>
      </c>
      <c r="B20" s="21" t="n">
        <f aca="false">AVERAGEIFS(Weekly_Data!$B$2:$B$458,Weekly_Data!$A$2:$A$458,"&gt;="&amp;$A20,Weekly_Data!$A$2:$A$458,"&lt;"&amp;EDATE($A20,1))</f>
        <v>127.264</v>
      </c>
      <c r="C20" s="21" t="n">
        <f aca="false">AVERAGEIFS(Weekly_Data!$C$2:$C$458,Weekly_Data!$A$2:$A$458,"&gt;="&amp;$A20,Weekly_Data!$A$2:$A$458,"&lt;"&amp;EDATE($A20,1))</f>
        <v>131.98</v>
      </c>
      <c r="D20" s="12" t="n">
        <f aca="false">COUNTIFS(Weekly_Data!$A$2:$A$458,"&gt;="&amp;$A20,Weekly_Data!$A$2:$A$458,"&lt;"&amp;EDATE($A20,1))</f>
        <v>5</v>
      </c>
      <c r="E20" s="17" t="n">
        <f aca="false">C20-B20</f>
        <v>4.71600000000004</v>
      </c>
    </row>
    <row r="21" customFormat="false" ht="15" hidden="false" customHeight="false" outlineLevel="0" collapsed="false">
      <c r="A21" s="20" t="n">
        <v>43678</v>
      </c>
      <c r="B21" s="21" t="n">
        <f aca="false">AVERAGEIFS(Weekly_Data!$B$2:$B$458,Weekly_Data!$A$2:$A$458,"&gt;="&amp;$A21,Weekly_Data!$A$2:$A$458,"&lt;"&amp;EDATE($A21,1))</f>
        <v>128.28</v>
      </c>
      <c r="C21" s="21" t="n">
        <f aca="false">AVERAGEIFS(Weekly_Data!$C$2:$C$458,Weekly_Data!$A$2:$A$458,"&gt;="&amp;$A21,Weekly_Data!$A$2:$A$458,"&lt;"&amp;EDATE($A21,1))</f>
        <v>132.5775</v>
      </c>
      <c r="D21" s="12" t="n">
        <f aca="false">COUNTIFS(Weekly_Data!$A$2:$A$458,"&gt;="&amp;$A21,Weekly_Data!$A$2:$A$458,"&lt;"&amp;EDATE($A21,1))</f>
        <v>4</v>
      </c>
      <c r="E21" s="17" t="n">
        <f aca="false">C21-B21</f>
        <v>4.29749999999999</v>
      </c>
    </row>
    <row r="22" customFormat="false" ht="15" hidden="false" customHeight="false" outlineLevel="0" collapsed="false">
      <c r="A22" s="20" t="n">
        <v>43709</v>
      </c>
      <c r="B22" s="21" t="n">
        <f aca="false">AVERAGEIFS(Weekly_Data!$B$2:$B$458,Weekly_Data!$A$2:$A$458,"&gt;="&amp;$A22,Weekly_Data!$A$2:$A$458,"&lt;"&amp;EDATE($A22,1))</f>
        <v>127.254</v>
      </c>
      <c r="C22" s="21" t="n">
        <f aca="false">AVERAGEIFS(Weekly_Data!$C$2:$C$458,Weekly_Data!$A$2:$A$458,"&gt;="&amp;$A22,Weekly_Data!$A$2:$A$458,"&lt;"&amp;EDATE($A22,1))</f>
        <v>131.776</v>
      </c>
      <c r="D22" s="12" t="n">
        <f aca="false">COUNTIFS(Weekly_Data!$A$2:$A$458,"&gt;="&amp;$A22,Weekly_Data!$A$2:$A$458,"&lt;"&amp;EDATE($A22,1))</f>
        <v>5</v>
      </c>
      <c r="E22" s="17" t="n">
        <f aca="false">C22-B22</f>
        <v>4.52200000000002</v>
      </c>
    </row>
    <row r="23" customFormat="false" ht="15" hidden="false" customHeight="false" outlineLevel="0" collapsed="false">
      <c r="A23" s="20" t="n">
        <v>43739</v>
      </c>
      <c r="B23" s="21" t="n">
        <f aca="false">AVERAGEIFS(Weekly_Data!$B$2:$B$458,Weekly_Data!$A$2:$A$458,"&gt;="&amp;$A23,Weekly_Data!$A$2:$A$458,"&lt;"&amp;EDATE($A23,1))</f>
        <v>126.4875</v>
      </c>
      <c r="C23" s="21" t="n">
        <f aca="false">AVERAGEIFS(Weekly_Data!$C$2:$C$458,Weekly_Data!$A$2:$A$458,"&gt;="&amp;$A23,Weekly_Data!$A$2:$A$458,"&lt;"&amp;EDATE($A23,1))</f>
        <v>131.3975</v>
      </c>
      <c r="D23" s="12" t="n">
        <f aca="false">COUNTIFS(Weekly_Data!$A$2:$A$458,"&gt;="&amp;$A23,Weekly_Data!$A$2:$A$458,"&lt;"&amp;EDATE($A23,1))</f>
        <v>4</v>
      </c>
      <c r="E23" s="17" t="n">
        <f aca="false">C23-B23</f>
        <v>4.90999999999998</v>
      </c>
    </row>
    <row r="24" customFormat="false" ht="15" hidden="false" customHeight="false" outlineLevel="0" collapsed="false">
      <c r="A24" s="20" t="n">
        <v>43770</v>
      </c>
      <c r="B24" s="21" t="n">
        <f aca="false">AVERAGEIFS(Weekly_Data!$B$2:$B$458,Weekly_Data!$A$2:$A$458,"&gt;="&amp;$A24,Weekly_Data!$A$2:$A$458,"&lt;"&amp;EDATE($A24,1))</f>
        <v>125.5125</v>
      </c>
      <c r="C24" s="21" t="n">
        <f aca="false">AVERAGEIFS(Weekly_Data!$C$2:$C$458,Weekly_Data!$A$2:$A$458,"&gt;="&amp;$A24,Weekly_Data!$A$2:$A$458,"&lt;"&amp;EDATE($A24,1))</f>
        <v>130.3075</v>
      </c>
      <c r="D24" s="12" t="n">
        <f aca="false">COUNTIFS(Weekly_Data!$A$2:$A$458,"&gt;="&amp;$A24,Weekly_Data!$A$2:$A$458,"&lt;"&amp;EDATE($A24,1))</f>
        <v>4</v>
      </c>
      <c r="E24" s="17" t="n">
        <f aca="false">C24-B24</f>
        <v>4.795</v>
      </c>
    </row>
    <row r="25" customFormat="false" ht="15" hidden="false" customHeight="false" outlineLevel="0" collapsed="false">
      <c r="A25" s="20" t="n">
        <v>43800</v>
      </c>
      <c r="B25" s="21" t="n">
        <f aca="false">AVERAGEIFS(Weekly_Data!$B$2:$B$458,Weekly_Data!$A$2:$A$458,"&gt;="&amp;$A25,Weekly_Data!$A$2:$A$458,"&lt;"&amp;EDATE($A25,1))</f>
        <v>124.602</v>
      </c>
      <c r="C25" s="21" t="n">
        <f aca="false">AVERAGEIFS(Weekly_Data!$C$2:$C$458,Weekly_Data!$A$2:$A$458,"&gt;="&amp;$A25,Weekly_Data!$A$2:$A$458,"&lt;"&amp;EDATE($A25,1))</f>
        <v>129.898</v>
      </c>
      <c r="D25" s="12" t="n">
        <f aca="false">COUNTIFS(Weekly_Data!$A$2:$A$458,"&gt;="&amp;$A25,Weekly_Data!$A$2:$A$458,"&lt;"&amp;EDATE($A25,1))</f>
        <v>5</v>
      </c>
      <c r="E25" s="17" t="n">
        <f aca="false">C25-B25</f>
        <v>5.29599999999999</v>
      </c>
    </row>
    <row r="26" customFormat="false" ht="15" hidden="false" customHeight="false" outlineLevel="0" collapsed="false">
      <c r="A26" s="20" t="n">
        <v>43831</v>
      </c>
      <c r="B26" s="21" t="n">
        <f aca="false">AVERAGEIFS(Weekly_Data!$B$2:$B$458,Weekly_Data!$A$2:$A$458,"&gt;="&amp;$A26,Weekly_Data!$A$2:$A$458,"&lt;"&amp;EDATE($A26,1))</f>
        <v>126.9425</v>
      </c>
      <c r="C26" s="21" t="n">
        <f aca="false">AVERAGEIFS(Weekly_Data!$C$2:$C$458,Weekly_Data!$A$2:$A$458,"&gt;="&amp;$A26,Weekly_Data!$A$2:$A$458,"&lt;"&amp;EDATE($A26,1))</f>
        <v>132.4675</v>
      </c>
      <c r="D26" s="12" t="n">
        <f aca="false">COUNTIFS(Weekly_Data!$A$2:$A$458,"&gt;="&amp;$A26,Weekly_Data!$A$2:$A$458,"&lt;"&amp;EDATE($A26,1))</f>
        <v>4</v>
      </c>
      <c r="E26" s="17" t="n">
        <f aca="false">C26-B26</f>
        <v>5.52500000000001</v>
      </c>
    </row>
    <row r="27" customFormat="false" ht="15" hidden="false" customHeight="false" outlineLevel="0" collapsed="false">
      <c r="A27" s="20" t="n">
        <v>43862</v>
      </c>
      <c r="B27" s="21" t="n">
        <f aca="false">AVERAGEIFS(Weekly_Data!$B$2:$B$458,Weekly_Data!$A$2:$A$458,"&gt;="&amp;$A27,Weekly_Data!$A$2:$A$458,"&lt;"&amp;EDATE($A27,1))</f>
        <v>124.4575</v>
      </c>
      <c r="C27" s="21" t="n">
        <f aca="false">AVERAGEIFS(Weekly_Data!$C$2:$C$458,Weekly_Data!$A$2:$A$458,"&gt;="&amp;$A27,Weekly_Data!$A$2:$A$458,"&lt;"&amp;EDATE($A27,1))</f>
        <v>129.2625</v>
      </c>
      <c r="D27" s="12" t="n">
        <f aca="false">COUNTIFS(Weekly_Data!$A$2:$A$458,"&gt;="&amp;$A27,Weekly_Data!$A$2:$A$458,"&lt;"&amp;EDATE($A27,1))</f>
        <v>4</v>
      </c>
      <c r="E27" s="17" t="n">
        <f aca="false">C27-B27</f>
        <v>4.80499999999999</v>
      </c>
    </row>
    <row r="28" customFormat="false" ht="15" hidden="false" customHeight="false" outlineLevel="0" collapsed="false">
      <c r="A28" s="20" t="n">
        <v>43891</v>
      </c>
      <c r="B28" s="21" t="n">
        <f aca="false">AVERAGEIFS(Weekly_Data!$B$2:$B$458,Weekly_Data!$A$2:$A$458,"&gt;="&amp;$A28,Weekly_Data!$A$2:$A$458,"&lt;"&amp;EDATE($A28,1))</f>
        <v>119.418</v>
      </c>
      <c r="C28" s="21" t="n">
        <f aca="false">AVERAGEIFS(Weekly_Data!$C$2:$C$458,Weekly_Data!$A$2:$A$458,"&gt;="&amp;$A28,Weekly_Data!$A$2:$A$458,"&lt;"&amp;EDATE($A28,1))</f>
        <v>123.848</v>
      </c>
      <c r="D28" s="12" t="n">
        <f aca="false">COUNTIFS(Weekly_Data!$A$2:$A$458,"&gt;="&amp;$A28,Weekly_Data!$A$2:$A$458,"&lt;"&amp;EDATE($A28,1))</f>
        <v>5</v>
      </c>
      <c r="E28" s="17" t="n">
        <f aca="false">C28-B28</f>
        <v>4.42999999999999</v>
      </c>
    </row>
    <row r="29" customFormat="false" ht="15" hidden="false" customHeight="false" outlineLevel="0" collapsed="false">
      <c r="A29" s="20" t="n">
        <v>43922</v>
      </c>
      <c r="B29" s="21" t="n">
        <f aca="false">AVERAGEIFS(Weekly_Data!$B$2:$B$458,Weekly_Data!$A$2:$A$458,"&gt;="&amp;$A29,Weekly_Data!$A$2:$A$458,"&lt;"&amp;EDATE($A29,1))</f>
        <v>109.0025</v>
      </c>
      <c r="C29" s="21" t="n">
        <f aca="false">AVERAGEIFS(Weekly_Data!$C$2:$C$458,Weekly_Data!$A$2:$A$458,"&gt;="&amp;$A29,Weekly_Data!$A$2:$A$458,"&lt;"&amp;EDATE($A29,1))</f>
        <v>115.9825</v>
      </c>
      <c r="D29" s="12" t="n">
        <f aca="false">COUNTIFS(Weekly_Data!$A$2:$A$458,"&gt;="&amp;$A29,Weekly_Data!$A$2:$A$458,"&lt;"&amp;EDATE($A29,1))</f>
        <v>4</v>
      </c>
      <c r="E29" s="17" t="n">
        <f aca="false">C29-B29</f>
        <v>6.98</v>
      </c>
    </row>
    <row r="30" customFormat="false" ht="15" hidden="false" customHeight="false" outlineLevel="0" collapsed="false">
      <c r="A30" s="20" t="n">
        <v>43952</v>
      </c>
      <c r="B30" s="21" t="n">
        <f aca="false">AVERAGEIFS(Weekly_Data!$B$2:$B$458,Weekly_Data!$A$2:$A$458,"&gt;="&amp;$A30,Weekly_Data!$A$2:$A$458,"&lt;"&amp;EDATE($A30,1))</f>
        <v>106.2425</v>
      </c>
      <c r="C30" s="21" t="n">
        <f aca="false">AVERAGEIFS(Weekly_Data!$C$2:$C$458,Weekly_Data!$A$2:$A$458,"&gt;="&amp;$A30,Weekly_Data!$A$2:$A$458,"&lt;"&amp;EDATE($A30,1))</f>
        <v>113.4225</v>
      </c>
      <c r="D30" s="12" t="n">
        <f aca="false">COUNTIFS(Weekly_Data!$A$2:$A$458,"&gt;="&amp;$A30,Weekly_Data!$A$2:$A$458,"&lt;"&amp;EDATE($A30,1))</f>
        <v>4</v>
      </c>
      <c r="E30" s="17" t="n">
        <f aca="false">C30-B30</f>
        <v>7.17999999999999</v>
      </c>
    </row>
    <row r="31" customFormat="false" ht="15" hidden="false" customHeight="false" outlineLevel="0" collapsed="false">
      <c r="A31" s="20" t="n">
        <v>43983</v>
      </c>
      <c r="B31" s="21" t="n">
        <f aca="false">AVERAGEIFS(Weekly_Data!$B$2:$B$458,Weekly_Data!$A$2:$A$458,"&gt;="&amp;$A31,Weekly_Data!$A$2:$A$458,"&lt;"&amp;EDATE($A31,1))</f>
        <v>106.544</v>
      </c>
      <c r="C31" s="21" t="n">
        <f aca="false">AVERAGEIFS(Weekly_Data!$C$2:$C$458,Weekly_Data!$A$2:$A$458,"&gt;="&amp;$A31,Weekly_Data!$A$2:$A$458,"&lt;"&amp;EDATE($A31,1))</f>
        <v>112.67</v>
      </c>
      <c r="D31" s="12" t="n">
        <f aca="false">COUNTIFS(Weekly_Data!$A$2:$A$458,"&gt;="&amp;$A31,Weekly_Data!$A$2:$A$458,"&lt;"&amp;EDATE($A31,1))</f>
        <v>5</v>
      </c>
      <c r="E31" s="17" t="n">
        <f aca="false">C31-B31</f>
        <v>6.12599999999999</v>
      </c>
    </row>
    <row r="32" customFormat="false" ht="15" hidden="false" customHeight="false" outlineLevel="0" collapsed="false">
      <c r="A32" s="20" t="n">
        <v>44013</v>
      </c>
      <c r="B32" s="21" t="n">
        <f aca="false">AVERAGEIFS(Weekly_Data!$B$2:$B$458,Weekly_Data!$A$2:$A$458,"&gt;="&amp;$A32,Weekly_Data!$A$2:$A$458,"&lt;"&amp;EDATE($A32,1))</f>
        <v>111.39</v>
      </c>
      <c r="C32" s="21" t="n">
        <f aca="false">AVERAGEIFS(Weekly_Data!$C$2:$C$458,Weekly_Data!$A$2:$A$458,"&gt;="&amp;$A32,Weekly_Data!$A$2:$A$458,"&lt;"&amp;EDATE($A32,1))</f>
        <v>116.7275</v>
      </c>
      <c r="D32" s="12" t="n">
        <f aca="false">COUNTIFS(Weekly_Data!$A$2:$A$458,"&gt;="&amp;$A32,Weekly_Data!$A$2:$A$458,"&lt;"&amp;EDATE($A32,1))</f>
        <v>4</v>
      </c>
      <c r="E32" s="17" t="n">
        <f aca="false">C32-B32</f>
        <v>5.33749999999999</v>
      </c>
    </row>
    <row r="33" customFormat="false" ht="15" hidden="false" customHeight="false" outlineLevel="0" collapsed="false">
      <c r="A33" s="20" t="n">
        <v>44044</v>
      </c>
      <c r="B33" s="21" t="n">
        <f aca="false">AVERAGEIFS(Weekly_Data!$B$2:$B$458,Weekly_Data!$A$2:$A$458,"&gt;="&amp;$A33,Weekly_Data!$A$2:$A$458,"&lt;"&amp;EDATE($A33,1))</f>
        <v>113.096</v>
      </c>
      <c r="C33" s="21" t="n">
        <f aca="false">AVERAGEIFS(Weekly_Data!$C$2:$C$458,Weekly_Data!$A$2:$A$458,"&gt;="&amp;$A33,Weekly_Data!$A$2:$A$458,"&lt;"&amp;EDATE($A33,1))</f>
        <v>118.06</v>
      </c>
      <c r="D33" s="12" t="n">
        <f aca="false">COUNTIFS(Weekly_Data!$A$2:$A$458,"&gt;="&amp;$A33,Weekly_Data!$A$2:$A$458,"&lt;"&amp;EDATE($A33,1))</f>
        <v>5</v>
      </c>
      <c r="E33" s="17" t="n">
        <f aca="false">C33-B33</f>
        <v>4.96399999999998</v>
      </c>
    </row>
    <row r="34" customFormat="false" ht="15" hidden="false" customHeight="false" outlineLevel="0" collapsed="false">
      <c r="A34" s="20" t="n">
        <v>44075</v>
      </c>
      <c r="B34" s="21" t="n">
        <f aca="false">AVERAGEIFS(Weekly_Data!$B$2:$B$458,Weekly_Data!$A$2:$A$458,"&gt;="&amp;$A34,Weekly_Data!$A$2:$A$458,"&lt;"&amp;EDATE($A34,1))</f>
        <v>113.325</v>
      </c>
      <c r="C34" s="21" t="n">
        <f aca="false">AVERAGEIFS(Weekly_Data!$C$2:$C$458,Weekly_Data!$A$2:$A$458,"&gt;="&amp;$A34,Weekly_Data!$A$2:$A$458,"&lt;"&amp;EDATE($A34,1))</f>
        <v>118.175</v>
      </c>
      <c r="D34" s="12" t="n">
        <f aca="false">COUNTIFS(Weekly_Data!$A$2:$A$458,"&gt;="&amp;$A34,Weekly_Data!$A$2:$A$458,"&lt;"&amp;EDATE($A34,1))</f>
        <v>4</v>
      </c>
      <c r="E34" s="17" t="n">
        <f aca="false">C34-B34</f>
        <v>4.84999999999999</v>
      </c>
    </row>
    <row r="35" customFormat="false" ht="15" hidden="false" customHeight="false" outlineLevel="0" collapsed="false">
      <c r="A35" s="20" t="n">
        <v>44105</v>
      </c>
      <c r="B35" s="21" t="n">
        <f aca="false">AVERAGEIFS(Weekly_Data!$B$2:$B$458,Weekly_Data!$A$2:$A$458,"&gt;="&amp;$A35,Weekly_Data!$A$2:$A$458,"&lt;"&amp;EDATE($A35,1))</f>
        <v>113.1925</v>
      </c>
      <c r="C35" s="21" t="n">
        <f aca="false">AVERAGEIFS(Weekly_Data!$C$2:$C$458,Weekly_Data!$A$2:$A$458,"&gt;="&amp;$A35,Weekly_Data!$A$2:$A$458,"&lt;"&amp;EDATE($A35,1))</f>
        <v>118.08</v>
      </c>
      <c r="D35" s="12" t="n">
        <f aca="false">COUNTIFS(Weekly_Data!$A$2:$A$458,"&gt;="&amp;$A35,Weekly_Data!$A$2:$A$458,"&lt;"&amp;EDATE($A35,1))</f>
        <v>4</v>
      </c>
      <c r="E35" s="17" t="n">
        <f aca="false">C35-B35</f>
        <v>4.8875</v>
      </c>
    </row>
    <row r="36" customFormat="false" ht="15" hidden="false" customHeight="false" outlineLevel="0" collapsed="false">
      <c r="A36" s="20" t="n">
        <v>44136</v>
      </c>
      <c r="B36" s="21" t="n">
        <f aca="false">AVERAGEIFS(Weekly_Data!$B$2:$B$458,Weekly_Data!$A$2:$A$458,"&gt;="&amp;$A36,Weekly_Data!$A$2:$A$458,"&lt;"&amp;EDATE($A36,1))</f>
        <v>112.598</v>
      </c>
      <c r="C36" s="21" t="n">
        <f aca="false">AVERAGEIFS(Weekly_Data!$C$2:$C$458,Weekly_Data!$A$2:$A$458,"&gt;="&amp;$A36,Weekly_Data!$A$2:$A$458,"&lt;"&amp;EDATE($A36,1))</f>
        <v>117.39</v>
      </c>
      <c r="D36" s="12" t="n">
        <f aca="false">COUNTIFS(Weekly_Data!$A$2:$A$458,"&gt;="&amp;$A36,Weekly_Data!$A$2:$A$458,"&lt;"&amp;EDATE($A36,1))</f>
        <v>5</v>
      </c>
      <c r="E36" s="17" t="n">
        <f aca="false">C36-B36</f>
        <v>4.79200000000002</v>
      </c>
    </row>
    <row r="37" customFormat="false" ht="15" hidden="false" customHeight="false" outlineLevel="0" collapsed="false">
      <c r="A37" s="20" t="n">
        <v>44166</v>
      </c>
      <c r="B37" s="21" t="n">
        <f aca="false">AVERAGEIFS(Weekly_Data!$B$2:$B$458,Weekly_Data!$A$2:$A$458,"&gt;="&amp;$A37,Weekly_Data!$A$2:$A$458,"&lt;"&amp;EDATE($A37,1))</f>
        <v>114.0825</v>
      </c>
      <c r="C37" s="21" t="n">
        <f aca="false">AVERAGEIFS(Weekly_Data!$C$2:$C$458,Weekly_Data!$A$2:$A$458,"&gt;="&amp;$A37,Weekly_Data!$A$2:$A$458,"&lt;"&amp;EDATE($A37,1))</f>
        <v>118.845</v>
      </c>
      <c r="D37" s="12" t="n">
        <f aca="false">COUNTIFS(Weekly_Data!$A$2:$A$458,"&gt;="&amp;$A37,Weekly_Data!$A$2:$A$458,"&lt;"&amp;EDATE($A37,1))</f>
        <v>4</v>
      </c>
      <c r="E37" s="17" t="n">
        <f aca="false">C37-B37</f>
        <v>4.7625</v>
      </c>
    </row>
    <row r="38" customFormat="false" ht="15" hidden="false" customHeight="false" outlineLevel="0" collapsed="false">
      <c r="A38" s="20" t="n">
        <v>44197</v>
      </c>
      <c r="B38" s="21" t="n">
        <f aca="false">AVERAGEIFS(Weekly_Data!$B$2:$B$458,Weekly_Data!$A$2:$A$458,"&gt;="&amp;$A38,Weekly_Data!$A$2:$A$458,"&lt;"&amp;EDATE($A38,1))</f>
        <v>116.64</v>
      </c>
      <c r="C38" s="21" t="n">
        <f aca="false">AVERAGEIFS(Weekly_Data!$C$2:$C$458,Weekly_Data!$A$2:$A$458,"&gt;="&amp;$A38,Weekly_Data!$A$2:$A$458,"&lt;"&amp;EDATE($A38,1))</f>
        <v>121.2</v>
      </c>
      <c r="D38" s="12" t="n">
        <f aca="false">COUNTIFS(Weekly_Data!$A$2:$A$458,"&gt;="&amp;$A38,Weekly_Data!$A$2:$A$458,"&lt;"&amp;EDATE($A38,1))</f>
        <v>4</v>
      </c>
      <c r="E38" s="17" t="n">
        <f aca="false">C38-B38</f>
        <v>4.56</v>
      </c>
    </row>
    <row r="39" customFormat="false" ht="15" hidden="false" customHeight="false" outlineLevel="0" collapsed="false">
      <c r="A39" s="20" t="n">
        <v>44228</v>
      </c>
      <c r="B39" s="21" t="n">
        <f aca="false">AVERAGEIFS(Weekly_Data!$B$2:$B$458,Weekly_Data!$A$2:$A$458,"&gt;="&amp;$A39,Weekly_Data!$A$2:$A$458,"&lt;"&amp;EDATE($A39,1))</f>
        <v>120.1525</v>
      </c>
      <c r="C39" s="21" t="n">
        <f aca="false">AVERAGEIFS(Weekly_Data!$C$2:$C$458,Weekly_Data!$A$2:$A$458,"&gt;="&amp;$A39,Weekly_Data!$A$2:$A$458,"&lt;"&amp;EDATE($A39,1))</f>
        <v>124.6275</v>
      </c>
      <c r="D39" s="12" t="n">
        <f aca="false">COUNTIFS(Weekly_Data!$A$2:$A$458,"&gt;="&amp;$A39,Weekly_Data!$A$2:$A$458,"&lt;"&amp;EDATE($A39,1))</f>
        <v>4</v>
      </c>
      <c r="E39" s="17" t="n">
        <f aca="false">C39-B39</f>
        <v>4.47499999999999</v>
      </c>
    </row>
    <row r="40" customFormat="false" ht="15" hidden="false" customHeight="false" outlineLevel="0" collapsed="false">
      <c r="A40" s="20" t="n">
        <v>44256</v>
      </c>
      <c r="B40" s="21" t="n">
        <f aca="false">AVERAGEIFS(Weekly_Data!$B$2:$B$458,Weekly_Data!$A$2:$A$458,"&gt;="&amp;$A40,Weekly_Data!$A$2:$A$458,"&lt;"&amp;EDATE($A40,1))</f>
        <v>123.742</v>
      </c>
      <c r="C40" s="21" t="n">
        <f aca="false">AVERAGEIFS(Weekly_Data!$C$2:$C$458,Weekly_Data!$A$2:$A$458,"&gt;="&amp;$A40,Weekly_Data!$A$2:$A$458,"&lt;"&amp;EDATE($A40,1))</f>
        <v>128.12</v>
      </c>
      <c r="D40" s="12" t="n">
        <f aca="false">COUNTIFS(Weekly_Data!$A$2:$A$458,"&gt;="&amp;$A40,Weekly_Data!$A$2:$A$458,"&lt;"&amp;EDATE($A40,1))</f>
        <v>5</v>
      </c>
      <c r="E40" s="17" t="n">
        <f aca="false">C40-B40</f>
        <v>4.378</v>
      </c>
    </row>
    <row r="41" customFormat="false" ht="15" hidden="false" customHeight="false" outlineLevel="0" collapsed="false">
      <c r="A41" s="20" t="n">
        <v>44287</v>
      </c>
      <c r="B41" s="21" t="n">
        <f aca="false">AVERAGEIFS(Weekly_Data!$B$2:$B$458,Weekly_Data!$A$2:$A$458,"&gt;="&amp;$A41,Weekly_Data!$A$2:$A$458,"&lt;"&amp;EDATE($A41,1))</f>
        <v>125.48</v>
      </c>
      <c r="C41" s="21" t="n">
        <f aca="false">AVERAGEIFS(Weekly_Data!$C$2:$C$458,Weekly_Data!$A$2:$A$458,"&gt;="&amp;$A41,Weekly_Data!$A$2:$A$458,"&lt;"&amp;EDATE($A41,1))</f>
        <v>129.5</v>
      </c>
      <c r="D41" s="12" t="n">
        <f aca="false">COUNTIFS(Weekly_Data!$A$2:$A$458,"&gt;="&amp;$A41,Weekly_Data!$A$2:$A$458,"&lt;"&amp;EDATE($A41,1))</f>
        <v>4</v>
      </c>
      <c r="E41" s="17" t="n">
        <f aca="false">C41-B41</f>
        <v>4.02</v>
      </c>
    </row>
    <row r="42" customFormat="false" ht="15" hidden="false" customHeight="false" outlineLevel="0" collapsed="false">
      <c r="A42" s="20" t="n">
        <v>44317</v>
      </c>
      <c r="B42" s="21" t="n">
        <f aca="false">AVERAGEIFS(Weekly_Data!$B$2:$B$458,Weekly_Data!$A$2:$A$458,"&gt;="&amp;$A42,Weekly_Data!$A$2:$A$458,"&lt;"&amp;EDATE($A42,1))</f>
        <v>127.17</v>
      </c>
      <c r="C42" s="21" t="n">
        <f aca="false">AVERAGEIFS(Weekly_Data!$C$2:$C$458,Weekly_Data!$A$2:$A$458,"&gt;="&amp;$A42,Weekly_Data!$A$2:$A$458,"&lt;"&amp;EDATE($A42,1))</f>
        <v>130.96</v>
      </c>
      <c r="D42" s="12" t="n">
        <f aca="false">COUNTIFS(Weekly_Data!$A$2:$A$458,"&gt;="&amp;$A42,Weekly_Data!$A$2:$A$458,"&lt;"&amp;EDATE($A42,1))</f>
        <v>5</v>
      </c>
      <c r="E42" s="17" t="n">
        <f aca="false">C42-B42</f>
        <v>3.78999999999998</v>
      </c>
    </row>
    <row r="43" customFormat="false" ht="15" hidden="false" customHeight="false" outlineLevel="0" collapsed="false">
      <c r="A43" s="20" t="n">
        <v>44348</v>
      </c>
      <c r="B43" s="21" t="n">
        <f aca="false">AVERAGEIFS(Weekly_Data!$B$2:$B$458,Weekly_Data!$A$2:$A$458,"&gt;="&amp;$A43,Weekly_Data!$A$2:$A$458,"&lt;"&amp;EDATE($A43,1))</f>
        <v>129.7475</v>
      </c>
      <c r="C43" s="21" t="n">
        <f aca="false">AVERAGEIFS(Weekly_Data!$C$2:$C$458,Weekly_Data!$A$2:$A$458,"&gt;="&amp;$A43,Weekly_Data!$A$2:$A$458,"&lt;"&amp;EDATE($A43,1))</f>
        <v>133.3775</v>
      </c>
      <c r="D43" s="12" t="n">
        <f aca="false">COUNTIFS(Weekly_Data!$A$2:$A$458,"&gt;="&amp;$A43,Weekly_Data!$A$2:$A$458,"&lt;"&amp;EDATE($A43,1))</f>
        <v>4</v>
      </c>
      <c r="E43" s="17" t="n">
        <f aca="false">C43-B43</f>
        <v>3.63</v>
      </c>
    </row>
    <row r="44" customFormat="false" ht="15" hidden="false" customHeight="false" outlineLevel="0" collapsed="false">
      <c r="A44" s="20" t="n">
        <v>44378</v>
      </c>
      <c r="B44" s="21" t="n">
        <f aca="false">AVERAGEIFS(Weekly_Data!$B$2:$B$458,Weekly_Data!$A$2:$A$458,"&gt;="&amp;$A44,Weekly_Data!$A$2:$A$458,"&lt;"&amp;EDATE($A44,1))</f>
        <v>132.7125</v>
      </c>
      <c r="C44" s="21" t="n">
        <f aca="false">AVERAGEIFS(Weekly_Data!$C$2:$C$458,Weekly_Data!$A$2:$A$458,"&gt;="&amp;$A44,Weekly_Data!$A$2:$A$458,"&lt;"&amp;EDATE($A44,1))</f>
        <v>135.3925</v>
      </c>
      <c r="D44" s="12" t="n">
        <f aca="false">COUNTIFS(Weekly_Data!$A$2:$A$458,"&gt;="&amp;$A44,Weekly_Data!$A$2:$A$458,"&lt;"&amp;EDATE($A44,1))</f>
        <v>4</v>
      </c>
      <c r="E44" s="17" t="n">
        <f aca="false">C44-B44</f>
        <v>2.68000000000001</v>
      </c>
    </row>
    <row r="45" customFormat="false" ht="15" hidden="false" customHeight="false" outlineLevel="0" collapsed="false">
      <c r="A45" s="20" t="n">
        <v>44409</v>
      </c>
      <c r="B45" s="21" t="n">
        <f aca="false">AVERAGEIFS(Weekly_Data!$B$2:$B$458,Weekly_Data!$A$2:$A$458,"&gt;="&amp;$A45,Weekly_Data!$A$2:$A$458,"&lt;"&amp;EDATE($A45,1))</f>
        <v>134.604</v>
      </c>
      <c r="C45" s="21" t="n">
        <f aca="false">AVERAGEIFS(Weekly_Data!$C$2:$C$458,Weekly_Data!$A$2:$A$458,"&gt;="&amp;$A45,Weekly_Data!$A$2:$A$458,"&lt;"&amp;EDATE($A45,1))</f>
        <v>137.046</v>
      </c>
      <c r="D45" s="12" t="n">
        <f aca="false">COUNTIFS(Weekly_Data!$A$2:$A$458,"&gt;="&amp;$A45,Weekly_Data!$A$2:$A$458,"&lt;"&amp;EDATE($A45,1))</f>
        <v>5</v>
      </c>
      <c r="E45" s="17" t="n">
        <f aca="false">C45-B45</f>
        <v>2.44200000000001</v>
      </c>
    </row>
    <row r="46" customFormat="false" ht="15" hidden="false" customHeight="false" outlineLevel="0" collapsed="false">
      <c r="A46" s="20" t="n">
        <v>44440</v>
      </c>
      <c r="B46" s="21" t="n">
        <f aca="false">AVERAGEIFS(Weekly_Data!$B$2:$B$458,Weekly_Data!$A$2:$A$458,"&gt;="&amp;$A46,Weekly_Data!$A$2:$A$458,"&lt;"&amp;EDATE($A46,1))</f>
        <v>134.89</v>
      </c>
      <c r="C46" s="21" t="n">
        <f aca="false">AVERAGEIFS(Weekly_Data!$C$2:$C$458,Weekly_Data!$A$2:$A$458,"&gt;="&amp;$A46,Weekly_Data!$A$2:$A$458,"&lt;"&amp;EDATE($A46,1))</f>
        <v>137.42</v>
      </c>
      <c r="D46" s="12" t="n">
        <f aca="false">COUNTIFS(Weekly_Data!$A$2:$A$458,"&gt;="&amp;$A46,Weekly_Data!$A$2:$A$458,"&lt;"&amp;EDATE($A46,1))</f>
        <v>4</v>
      </c>
      <c r="E46" s="17" t="n">
        <f aca="false">C46-B46</f>
        <v>2.53</v>
      </c>
    </row>
    <row r="47" customFormat="false" ht="15" hidden="false" customHeight="false" outlineLevel="0" collapsed="false">
      <c r="A47" s="20" t="n">
        <v>44470</v>
      </c>
      <c r="B47" s="21" t="n">
        <f aca="false">AVERAGEIFS(Weekly_Data!$B$2:$B$458,Weekly_Data!$A$2:$A$458,"&gt;="&amp;$A47,Weekly_Data!$A$2:$A$458,"&lt;"&amp;EDATE($A47,1))</f>
        <v>138.635</v>
      </c>
      <c r="C47" s="21" t="n">
        <f aca="false">AVERAGEIFS(Weekly_Data!$C$2:$C$458,Weekly_Data!$A$2:$A$458,"&gt;="&amp;$A47,Weekly_Data!$A$2:$A$458,"&lt;"&amp;EDATE($A47,1))</f>
        <v>142.2375</v>
      </c>
      <c r="D47" s="12" t="n">
        <f aca="false">COUNTIFS(Weekly_Data!$A$2:$A$458,"&gt;="&amp;$A47,Weekly_Data!$A$2:$A$458,"&lt;"&amp;EDATE($A47,1))</f>
        <v>4</v>
      </c>
      <c r="E47" s="17" t="n">
        <f aca="false">C47-B47</f>
        <v>3.60250000000002</v>
      </c>
    </row>
    <row r="48" customFormat="false" ht="15" hidden="false" customHeight="false" outlineLevel="0" collapsed="false">
      <c r="A48" s="20" t="n">
        <v>44501</v>
      </c>
      <c r="B48" s="21" t="n">
        <f aca="false">AVERAGEIFS(Weekly_Data!$B$2:$B$458,Weekly_Data!$A$2:$A$458,"&gt;="&amp;$A48,Weekly_Data!$A$2:$A$458,"&lt;"&amp;EDATE($A48,1))</f>
        <v>145.778</v>
      </c>
      <c r="C48" s="21" t="n">
        <f aca="false">AVERAGEIFS(Weekly_Data!$C$2:$C$458,Weekly_Data!$A$2:$A$458,"&gt;="&amp;$A48,Weekly_Data!$A$2:$A$458,"&lt;"&amp;EDATE($A48,1))</f>
        <v>149.624</v>
      </c>
      <c r="D48" s="12" t="n">
        <f aca="false">COUNTIFS(Weekly_Data!$A$2:$A$458,"&gt;="&amp;$A48,Weekly_Data!$A$2:$A$458,"&lt;"&amp;EDATE($A48,1))</f>
        <v>5</v>
      </c>
      <c r="E48" s="17" t="n">
        <f aca="false">C48-B48</f>
        <v>3.846</v>
      </c>
    </row>
    <row r="49" customFormat="false" ht="15" hidden="false" customHeight="false" outlineLevel="0" collapsed="false">
      <c r="A49" s="20" t="n">
        <v>44531</v>
      </c>
      <c r="B49" s="21" t="n">
        <f aca="false">AVERAGEIFS(Weekly_Data!$B$2:$B$458,Weekly_Data!$A$2:$A$458,"&gt;="&amp;$A49,Weekly_Data!$A$2:$A$458,"&lt;"&amp;EDATE($A49,1))</f>
        <v>145.7975</v>
      </c>
      <c r="C49" s="21" t="n">
        <f aca="false">AVERAGEIFS(Weekly_Data!$C$2:$C$458,Weekly_Data!$A$2:$A$458,"&gt;="&amp;$A49,Weekly_Data!$A$2:$A$458,"&lt;"&amp;EDATE($A49,1))</f>
        <v>149.55</v>
      </c>
      <c r="D49" s="12" t="n">
        <f aca="false">COUNTIFS(Weekly_Data!$A$2:$A$458,"&gt;="&amp;$A49,Weekly_Data!$A$2:$A$458,"&lt;"&amp;EDATE($A49,1))</f>
        <v>4</v>
      </c>
      <c r="E49" s="17" t="n">
        <f aca="false">C49-B49</f>
        <v>3.75250000000003</v>
      </c>
    </row>
    <row r="50" customFormat="false" ht="15" hidden="false" customHeight="false" outlineLevel="0" collapsed="false">
      <c r="A50" s="20" t="n">
        <v>44562</v>
      </c>
      <c r="B50" s="21" t="n">
        <f aca="false">AVERAGEIFS(Weekly_Data!$B$2:$B$458,Weekly_Data!$A$2:$A$458,"&gt;="&amp;$A50,Weekly_Data!$A$2:$A$458,"&lt;"&amp;EDATE($A50,1))</f>
        <v>145.054</v>
      </c>
      <c r="C50" s="21" t="n">
        <f aca="false">AVERAGEIFS(Weekly_Data!$C$2:$C$458,Weekly_Data!$A$2:$A$458,"&gt;="&amp;$A50,Weekly_Data!$A$2:$A$458,"&lt;"&amp;EDATE($A50,1))</f>
        <v>148.938</v>
      </c>
      <c r="D50" s="12" t="n">
        <f aca="false">COUNTIFS(Weekly_Data!$A$2:$A$458,"&gt;="&amp;$A50,Weekly_Data!$A$2:$A$458,"&lt;"&amp;EDATE($A50,1))</f>
        <v>5</v>
      </c>
      <c r="E50" s="17" t="n">
        <f aca="false">C50-B50</f>
        <v>3.88400000000001</v>
      </c>
    </row>
    <row r="51" customFormat="false" ht="15" hidden="false" customHeight="false" outlineLevel="0" collapsed="false">
      <c r="A51" s="20" t="n">
        <v>44593</v>
      </c>
      <c r="B51" s="21" t="n">
        <f aca="false">AVERAGEIFS(Weekly_Data!$B$2:$B$458,Weekly_Data!$A$2:$A$458,"&gt;="&amp;$A51,Weekly_Data!$A$2:$A$458,"&lt;"&amp;EDATE($A51,1))</f>
        <v>147.5675</v>
      </c>
      <c r="C51" s="21" t="n">
        <f aca="false">AVERAGEIFS(Weekly_Data!$C$2:$C$458,Weekly_Data!$A$2:$A$458,"&gt;="&amp;$A51,Weekly_Data!$A$2:$A$458,"&lt;"&amp;EDATE($A51,1))</f>
        <v>151.6775</v>
      </c>
      <c r="D51" s="12" t="n">
        <f aca="false">COUNTIFS(Weekly_Data!$A$2:$A$458,"&gt;="&amp;$A51,Weekly_Data!$A$2:$A$458,"&lt;"&amp;EDATE($A51,1))</f>
        <v>4</v>
      </c>
      <c r="E51" s="17" t="n">
        <f aca="false">C51-B51</f>
        <v>4.11000000000001</v>
      </c>
    </row>
    <row r="52" customFormat="false" ht="15" hidden="false" customHeight="false" outlineLevel="0" collapsed="false">
      <c r="A52" s="20" t="n">
        <v>44621</v>
      </c>
      <c r="B52" s="21" t="n">
        <f aca="false">AVERAGEIFS(Weekly_Data!$B$2:$B$458,Weekly_Data!$A$2:$A$458,"&gt;="&amp;$A52,Weekly_Data!$A$2:$A$458,"&lt;"&amp;EDATE($A52,1))</f>
        <v>160.2325</v>
      </c>
      <c r="C52" s="21" t="n">
        <f aca="false">AVERAGEIFS(Weekly_Data!$C$2:$C$458,Weekly_Data!$A$2:$A$458,"&gt;="&amp;$A52,Weekly_Data!$A$2:$A$458,"&lt;"&amp;EDATE($A52,1))</f>
        <v>170.4875</v>
      </c>
      <c r="D52" s="12" t="n">
        <f aca="false">COUNTIFS(Weekly_Data!$A$2:$A$458,"&gt;="&amp;$A52,Weekly_Data!$A$2:$A$458,"&lt;"&amp;EDATE($A52,1))</f>
        <v>4</v>
      </c>
      <c r="E52" s="17" t="n">
        <f aca="false">C52-B52</f>
        <v>10.255</v>
      </c>
    </row>
    <row r="53" customFormat="false" ht="15" hidden="false" customHeight="false" outlineLevel="0" collapsed="false">
      <c r="A53" s="20" t="n">
        <v>44652</v>
      </c>
      <c r="B53" s="21" t="n">
        <f aca="false">AVERAGEIFS(Weekly_Data!$B$2:$B$458,Weekly_Data!$A$2:$A$458,"&gt;="&amp;$A53,Weekly_Data!$A$2:$A$458,"&lt;"&amp;EDATE($A53,1))</f>
        <v>161.8</v>
      </c>
      <c r="C53" s="21" t="n">
        <f aca="false">AVERAGEIFS(Weekly_Data!$C$2:$C$458,Weekly_Data!$A$2:$A$458,"&gt;="&amp;$A53,Weekly_Data!$A$2:$A$458,"&lt;"&amp;EDATE($A53,1))</f>
        <v>176.12</v>
      </c>
      <c r="D53" s="12" t="n">
        <f aca="false">COUNTIFS(Weekly_Data!$A$2:$A$458,"&gt;="&amp;$A53,Weekly_Data!$A$2:$A$458,"&lt;"&amp;EDATE($A53,1))</f>
        <v>4</v>
      </c>
      <c r="E53" s="17" t="n">
        <f aca="false">C53-B53</f>
        <v>14.32</v>
      </c>
    </row>
    <row r="54" customFormat="false" ht="15" hidden="false" customHeight="false" outlineLevel="0" collapsed="false">
      <c r="A54" s="20" t="n">
        <v>44682</v>
      </c>
      <c r="B54" s="21" t="n">
        <f aca="false">AVERAGEIFS(Weekly_Data!$B$2:$B$458,Weekly_Data!$A$2:$A$458,"&gt;="&amp;$A54,Weekly_Data!$A$2:$A$458,"&lt;"&amp;EDATE($A54,1))</f>
        <v>165.84</v>
      </c>
      <c r="C54" s="21" t="n">
        <f aca="false">AVERAGEIFS(Weekly_Data!$C$2:$C$458,Weekly_Data!$A$2:$A$458,"&gt;="&amp;$A54,Weekly_Data!$A$2:$A$458,"&lt;"&amp;EDATE($A54,1))</f>
        <v>179.706</v>
      </c>
      <c r="D54" s="12" t="n">
        <f aca="false">COUNTIFS(Weekly_Data!$A$2:$A$458,"&gt;="&amp;$A54,Weekly_Data!$A$2:$A$458,"&lt;"&amp;EDATE($A54,1))</f>
        <v>5</v>
      </c>
      <c r="E54" s="17" t="n">
        <f aca="false">C54-B54</f>
        <v>13.866</v>
      </c>
    </row>
    <row r="55" customFormat="false" ht="15" hidden="false" customHeight="false" outlineLevel="0" collapsed="false">
      <c r="A55" s="20" t="n">
        <v>44713</v>
      </c>
      <c r="B55" s="21" t="n">
        <f aca="false">AVERAGEIFS(Weekly_Data!$B$2:$B$458,Weekly_Data!$A$2:$A$458,"&gt;="&amp;$A55,Weekly_Data!$A$2:$A$458,"&lt;"&amp;EDATE($A55,1))</f>
        <v>183.825</v>
      </c>
      <c r="C55" s="21" t="n">
        <f aca="false">AVERAGEIFS(Weekly_Data!$C$2:$C$458,Weekly_Data!$A$2:$A$458,"&gt;="&amp;$A55,Weekly_Data!$A$2:$A$458,"&lt;"&amp;EDATE($A55,1))</f>
        <v>192.2925</v>
      </c>
      <c r="D55" s="12" t="n">
        <f aca="false">COUNTIFS(Weekly_Data!$A$2:$A$458,"&gt;="&amp;$A55,Weekly_Data!$A$2:$A$458,"&lt;"&amp;EDATE($A55,1))</f>
        <v>4</v>
      </c>
      <c r="E55" s="17" t="n">
        <f aca="false">C55-B55</f>
        <v>8.46750000000003</v>
      </c>
    </row>
    <row r="56" customFormat="false" ht="15" hidden="false" customHeight="false" outlineLevel="0" collapsed="false">
      <c r="A56" s="20" t="n">
        <v>44743</v>
      </c>
      <c r="B56" s="21" t="n">
        <f aca="false">AVERAGEIFS(Weekly_Data!$B$2:$B$458,Weekly_Data!$A$2:$A$458,"&gt;="&amp;$A56,Weekly_Data!$A$2:$A$458,"&lt;"&amp;EDATE($A56,1))</f>
        <v>189.425</v>
      </c>
      <c r="C56" s="21" t="n">
        <f aca="false">AVERAGEIFS(Weekly_Data!$C$2:$C$458,Weekly_Data!$A$2:$A$458,"&gt;="&amp;$A56,Weekly_Data!$A$2:$A$458,"&lt;"&amp;EDATE($A56,1))</f>
        <v>197.8425</v>
      </c>
      <c r="D56" s="12" t="n">
        <f aca="false">COUNTIFS(Weekly_Data!$A$2:$A$458,"&gt;="&amp;$A56,Weekly_Data!$A$2:$A$458,"&lt;"&amp;EDATE($A56,1))</f>
        <v>4</v>
      </c>
      <c r="E56" s="17" t="n">
        <f aca="false">C56-B56</f>
        <v>8.41749999999999</v>
      </c>
    </row>
    <row r="57" customFormat="false" ht="15" hidden="false" customHeight="false" outlineLevel="0" collapsed="false">
      <c r="A57" s="20" t="n">
        <v>44774</v>
      </c>
      <c r="B57" s="21" t="n">
        <f aca="false">AVERAGEIFS(Weekly_Data!$B$2:$B$458,Weekly_Data!$A$2:$A$458,"&gt;="&amp;$A57,Weekly_Data!$A$2:$A$458,"&lt;"&amp;EDATE($A57,1))</f>
        <v>175.172</v>
      </c>
      <c r="C57" s="21" t="n">
        <f aca="false">AVERAGEIFS(Weekly_Data!$C$2:$C$458,Weekly_Data!$A$2:$A$458,"&gt;="&amp;$A57,Weekly_Data!$A$2:$A$458,"&lt;"&amp;EDATE($A57,1))</f>
        <v>186.562</v>
      </c>
      <c r="D57" s="12" t="n">
        <f aca="false">COUNTIFS(Weekly_Data!$A$2:$A$458,"&gt;="&amp;$A57,Weekly_Data!$A$2:$A$458,"&lt;"&amp;EDATE($A57,1))</f>
        <v>5</v>
      </c>
      <c r="E57" s="17" t="n">
        <f aca="false">C57-B57</f>
        <v>11.39</v>
      </c>
    </row>
    <row r="58" customFormat="false" ht="15" hidden="false" customHeight="false" outlineLevel="0" collapsed="false">
      <c r="A58" s="20" t="n">
        <v>44805</v>
      </c>
      <c r="B58" s="21" t="n">
        <f aca="false">AVERAGEIFS(Weekly_Data!$B$2:$B$458,Weekly_Data!$A$2:$A$458,"&gt;="&amp;$A58,Weekly_Data!$A$2:$A$458,"&lt;"&amp;EDATE($A58,1))</f>
        <v>166.5025</v>
      </c>
      <c r="C58" s="21" t="n">
        <f aca="false">AVERAGEIFS(Weekly_Data!$C$2:$C$458,Weekly_Data!$A$2:$A$458,"&gt;="&amp;$A58,Weekly_Data!$A$2:$A$458,"&lt;"&amp;EDATE($A58,1))</f>
        <v>181.6575</v>
      </c>
      <c r="D58" s="12" t="n">
        <f aca="false">COUNTIFS(Weekly_Data!$A$2:$A$458,"&gt;="&amp;$A58,Weekly_Data!$A$2:$A$458,"&lt;"&amp;EDATE($A58,1))</f>
        <v>4</v>
      </c>
      <c r="E58" s="17" t="n">
        <f aca="false">C58-B58</f>
        <v>15.155</v>
      </c>
    </row>
    <row r="59" customFormat="false" ht="15" hidden="false" customHeight="false" outlineLevel="0" collapsed="false">
      <c r="A59" s="20" t="n">
        <v>44835</v>
      </c>
      <c r="B59" s="21" t="n">
        <f aca="false">AVERAGEIFS(Weekly_Data!$B$2:$B$458,Weekly_Data!$A$2:$A$458,"&gt;="&amp;$A59,Weekly_Data!$A$2:$A$458,"&lt;"&amp;EDATE($A59,1))</f>
        <v>163.612</v>
      </c>
      <c r="C59" s="21" t="n">
        <f aca="false">AVERAGEIFS(Weekly_Data!$C$2:$C$458,Weekly_Data!$A$2:$A$458,"&gt;="&amp;$A59,Weekly_Data!$A$2:$A$458,"&lt;"&amp;EDATE($A59,1))</f>
        <v>183.946</v>
      </c>
      <c r="D59" s="12" t="n">
        <f aca="false">COUNTIFS(Weekly_Data!$A$2:$A$458,"&gt;="&amp;$A59,Weekly_Data!$A$2:$A$458,"&lt;"&amp;EDATE($A59,1))</f>
        <v>5</v>
      </c>
      <c r="E59" s="17" t="n">
        <f aca="false">C59-B59</f>
        <v>20.334</v>
      </c>
    </row>
    <row r="60" customFormat="false" ht="15" hidden="false" customHeight="false" outlineLevel="0" collapsed="false">
      <c r="A60" s="20" t="n">
        <v>44866</v>
      </c>
      <c r="B60" s="21" t="n">
        <f aca="false">AVERAGEIFS(Weekly_Data!$B$2:$B$458,Weekly_Data!$A$2:$A$458,"&gt;="&amp;$A60,Weekly_Data!$A$2:$A$458,"&lt;"&amp;EDATE($A60,1))</f>
        <v>163.6075</v>
      </c>
      <c r="C60" s="21" t="n">
        <f aca="false">AVERAGEIFS(Weekly_Data!$C$2:$C$458,Weekly_Data!$A$2:$A$458,"&gt;="&amp;$A60,Weekly_Data!$A$2:$A$458,"&lt;"&amp;EDATE($A60,1))</f>
        <v>187.945</v>
      </c>
      <c r="D60" s="12" t="n">
        <f aca="false">COUNTIFS(Weekly_Data!$A$2:$A$458,"&gt;="&amp;$A60,Weekly_Data!$A$2:$A$458,"&lt;"&amp;EDATE($A60,1))</f>
        <v>4</v>
      </c>
      <c r="E60" s="17" t="n">
        <f aca="false">C60-B60</f>
        <v>24.3375</v>
      </c>
    </row>
    <row r="61" customFormat="false" ht="15" hidden="false" customHeight="false" outlineLevel="0" collapsed="false">
      <c r="A61" s="20" t="n">
        <v>44896</v>
      </c>
      <c r="B61" s="21" t="n">
        <f aca="false">AVERAGEIFS(Weekly_Data!$B$2:$B$458,Weekly_Data!$A$2:$A$458,"&gt;="&amp;$A61,Weekly_Data!$A$2:$A$458,"&lt;"&amp;EDATE($A61,1))</f>
        <v>155.295</v>
      </c>
      <c r="C61" s="21" t="n">
        <f aca="false">AVERAGEIFS(Weekly_Data!$C$2:$C$458,Weekly_Data!$A$2:$A$458,"&gt;="&amp;$A61,Weekly_Data!$A$2:$A$458,"&lt;"&amp;EDATE($A61,1))</f>
        <v>179.1525</v>
      </c>
      <c r="D61" s="12" t="n">
        <f aca="false">COUNTIFS(Weekly_Data!$A$2:$A$458,"&gt;="&amp;$A61,Weekly_Data!$A$2:$A$458,"&lt;"&amp;EDATE($A61,1))</f>
        <v>4</v>
      </c>
      <c r="E61" s="17" t="n">
        <f aca="false">C61-B61</f>
        <v>23.8575</v>
      </c>
    </row>
    <row r="62" customFormat="false" ht="15" hidden="false" customHeight="false" outlineLevel="0" collapsed="false">
      <c r="A62" s="20" t="n">
        <v>44927</v>
      </c>
      <c r="B62" s="21" t="n">
        <f aca="false">AVERAGEIFS(Weekly_Data!$B$2:$B$458,Weekly_Data!$A$2:$A$458,"&gt;="&amp;$A62,Weekly_Data!$A$2:$A$458,"&lt;"&amp;EDATE($A62,1))</f>
        <v>149.21</v>
      </c>
      <c r="C62" s="21" t="n">
        <f aca="false">AVERAGEIFS(Weekly_Data!$C$2:$C$458,Weekly_Data!$A$2:$A$458,"&gt;="&amp;$A62,Weekly_Data!$A$2:$A$458,"&lt;"&amp;EDATE($A62,1))</f>
        <v>172.076</v>
      </c>
      <c r="D62" s="12" t="n">
        <f aca="false">COUNTIFS(Weekly_Data!$A$2:$A$458,"&gt;="&amp;$A62,Weekly_Data!$A$2:$A$458,"&lt;"&amp;EDATE($A62,1))</f>
        <v>5</v>
      </c>
      <c r="E62" s="17" t="n">
        <f aca="false">C62-B62</f>
        <v>22.866</v>
      </c>
    </row>
    <row r="63" customFormat="false" ht="15" hidden="false" customHeight="false" outlineLevel="0" collapsed="false">
      <c r="A63" s="20" t="n">
        <v>44958</v>
      </c>
      <c r="B63" s="21" t="n">
        <f aca="false">AVERAGEIFS(Weekly_Data!$B$2:$B$458,Weekly_Data!$A$2:$A$458,"&gt;="&amp;$A63,Weekly_Data!$A$2:$A$458,"&lt;"&amp;EDATE($A63,1))</f>
        <v>147.9325</v>
      </c>
      <c r="C63" s="21" t="n">
        <f aca="false">AVERAGEIFS(Weekly_Data!$C$2:$C$458,Weekly_Data!$A$2:$A$458,"&gt;="&amp;$A63,Weekly_Data!$A$2:$A$458,"&lt;"&amp;EDATE($A63,1))</f>
        <v>169.47</v>
      </c>
      <c r="D63" s="12" t="n">
        <f aca="false">COUNTIFS(Weekly_Data!$A$2:$A$458,"&gt;="&amp;$A63,Weekly_Data!$A$2:$A$458,"&lt;"&amp;EDATE($A63,1))</f>
        <v>4</v>
      </c>
      <c r="E63" s="17" t="n">
        <f aca="false">C63-B63</f>
        <v>21.5375</v>
      </c>
    </row>
    <row r="64" customFormat="false" ht="15" hidden="false" customHeight="false" outlineLevel="0" collapsed="false">
      <c r="A64" s="20" t="n">
        <v>44986</v>
      </c>
      <c r="B64" s="21" t="n">
        <f aca="false">AVERAGEIFS(Weekly_Data!$B$2:$B$458,Weekly_Data!$A$2:$A$458,"&gt;="&amp;$A64,Weekly_Data!$A$2:$A$458,"&lt;"&amp;EDATE($A64,1))</f>
        <v>146.73</v>
      </c>
      <c r="C64" s="21" t="n">
        <f aca="false">AVERAGEIFS(Weekly_Data!$C$2:$C$458,Weekly_Data!$A$2:$A$458,"&gt;="&amp;$A64,Weekly_Data!$A$2:$A$458,"&lt;"&amp;EDATE($A64,1))</f>
        <v>166.4525</v>
      </c>
      <c r="D64" s="12" t="n">
        <f aca="false">COUNTIFS(Weekly_Data!$A$2:$A$458,"&gt;="&amp;$A64,Weekly_Data!$A$2:$A$458,"&lt;"&amp;EDATE($A64,1))</f>
        <v>4</v>
      </c>
      <c r="E64" s="17" t="n">
        <f aca="false">C64-B64</f>
        <v>19.7225</v>
      </c>
    </row>
    <row r="65" customFormat="false" ht="15" hidden="false" customHeight="false" outlineLevel="0" collapsed="false">
      <c r="A65" s="20" t="n">
        <v>45017</v>
      </c>
      <c r="B65" s="21" t="n">
        <f aca="false">AVERAGEIFS(Weekly_Data!$B$2:$B$458,Weekly_Data!$A$2:$A$458,"&gt;="&amp;$A65,Weekly_Data!$A$2:$A$458,"&lt;"&amp;EDATE($A65,1))</f>
        <v>145.8275</v>
      </c>
      <c r="C65" s="21" t="n">
        <f aca="false">AVERAGEIFS(Weekly_Data!$C$2:$C$458,Weekly_Data!$A$2:$A$458,"&gt;="&amp;$A65,Weekly_Data!$A$2:$A$458,"&lt;"&amp;EDATE($A65,1))</f>
        <v>162.4675</v>
      </c>
      <c r="D65" s="12" t="n">
        <f aca="false">COUNTIFS(Weekly_Data!$A$2:$A$458,"&gt;="&amp;$A65,Weekly_Data!$A$2:$A$458,"&lt;"&amp;EDATE($A65,1))</f>
        <v>4</v>
      </c>
      <c r="E65" s="17" t="n">
        <f aca="false">C65-B65</f>
        <v>16.64</v>
      </c>
    </row>
    <row r="66" customFormat="false" ht="15" hidden="false" customHeight="false" outlineLevel="0" collapsed="false">
      <c r="A66" s="20" t="n">
        <v>45047</v>
      </c>
      <c r="B66" s="21" t="n">
        <f aca="false">AVERAGEIFS(Weekly_Data!$B$2:$B$458,Weekly_Data!$A$2:$A$458,"&gt;="&amp;$A66,Weekly_Data!$A$2:$A$458,"&lt;"&amp;EDATE($A66,1))</f>
        <v>144.448</v>
      </c>
      <c r="C66" s="21" t="n">
        <f aca="false">AVERAGEIFS(Weekly_Data!$C$2:$C$458,Weekly_Data!$A$2:$A$458,"&gt;="&amp;$A66,Weekly_Data!$A$2:$A$458,"&lt;"&amp;EDATE($A66,1))</f>
        <v>154.692</v>
      </c>
      <c r="D66" s="12" t="n">
        <f aca="false">COUNTIFS(Weekly_Data!$A$2:$A$458,"&gt;="&amp;$A66,Weekly_Data!$A$2:$A$458,"&lt;"&amp;EDATE($A66,1))</f>
        <v>5</v>
      </c>
      <c r="E66" s="17" t="n">
        <f aca="false">C66-B66</f>
        <v>10.244</v>
      </c>
    </row>
    <row r="67" customFormat="false" ht="15" hidden="false" customHeight="false" outlineLevel="0" collapsed="false">
      <c r="A67" s="20" t="n">
        <v>45078</v>
      </c>
      <c r="B67" s="21" t="n">
        <f aca="false">AVERAGEIFS(Weekly_Data!$B$2:$B$458,Weekly_Data!$A$2:$A$458,"&gt;="&amp;$A67,Weekly_Data!$A$2:$A$458,"&lt;"&amp;EDATE($A67,1))</f>
        <v>142.9975</v>
      </c>
      <c r="C67" s="21" t="n">
        <f aca="false">AVERAGEIFS(Weekly_Data!$C$2:$C$458,Weekly_Data!$A$2:$A$458,"&gt;="&amp;$A67,Weekly_Data!$A$2:$A$458,"&lt;"&amp;EDATE($A67,1))</f>
        <v>145.69</v>
      </c>
      <c r="D67" s="12" t="n">
        <f aca="false">COUNTIFS(Weekly_Data!$A$2:$A$458,"&gt;="&amp;$A67,Weekly_Data!$A$2:$A$458,"&lt;"&amp;EDATE($A67,1))</f>
        <v>4</v>
      </c>
      <c r="E67" s="17" t="n">
        <f aca="false">C67-B67</f>
        <v>2.6925</v>
      </c>
    </row>
    <row r="68" customFormat="false" ht="15" hidden="false" customHeight="false" outlineLevel="0" collapsed="false">
      <c r="A68" s="20" t="n">
        <v>45108</v>
      </c>
      <c r="B68" s="21" t="n">
        <f aca="false">AVERAGEIFS(Weekly_Data!$B$2:$B$458,Weekly_Data!$A$2:$A$458,"&gt;="&amp;$A68,Weekly_Data!$A$2:$A$458,"&lt;"&amp;EDATE($A68,1))</f>
        <v>143.226</v>
      </c>
      <c r="C68" s="21" t="n">
        <f aca="false">AVERAGEIFS(Weekly_Data!$C$2:$C$458,Weekly_Data!$A$2:$A$458,"&gt;="&amp;$A68,Weekly_Data!$A$2:$A$458,"&lt;"&amp;EDATE($A68,1))</f>
        <v>145.194</v>
      </c>
      <c r="D68" s="12" t="n">
        <f aca="false">COUNTIFS(Weekly_Data!$A$2:$A$458,"&gt;="&amp;$A68,Weekly_Data!$A$2:$A$458,"&lt;"&amp;EDATE($A68,1))</f>
        <v>5</v>
      </c>
      <c r="E68" s="17" t="n">
        <f aca="false">C68-B68</f>
        <v>1.96800000000002</v>
      </c>
    </row>
    <row r="69" customFormat="false" ht="15" hidden="false" customHeight="false" outlineLevel="0" collapsed="false">
      <c r="A69" s="20" t="n">
        <v>45139</v>
      </c>
      <c r="B69" s="21" t="n">
        <f aca="false">AVERAGEIFS(Weekly_Data!$B$2:$B$458,Weekly_Data!$A$2:$A$458,"&gt;="&amp;$A69,Weekly_Data!$A$2:$A$458,"&lt;"&amp;EDATE($A69,1))</f>
        <v>148.52</v>
      </c>
      <c r="C69" s="21" t="n">
        <f aca="false">AVERAGEIFS(Weekly_Data!$C$2:$C$458,Weekly_Data!$A$2:$A$458,"&gt;="&amp;$A69,Weekly_Data!$A$2:$A$458,"&lt;"&amp;EDATE($A69,1))</f>
        <v>151.065</v>
      </c>
      <c r="D69" s="12" t="n">
        <f aca="false">COUNTIFS(Weekly_Data!$A$2:$A$458,"&gt;="&amp;$A69,Weekly_Data!$A$2:$A$458,"&lt;"&amp;EDATE($A69,1))</f>
        <v>4</v>
      </c>
      <c r="E69" s="17" t="n">
        <f aca="false">C69-B69</f>
        <v>2.54499999999999</v>
      </c>
    </row>
    <row r="70" customFormat="false" ht="15" hidden="false" customHeight="false" outlineLevel="0" collapsed="false">
      <c r="A70" s="20" t="n">
        <v>45170</v>
      </c>
      <c r="B70" s="21" t="n">
        <f aca="false">AVERAGEIFS(Weekly_Data!$B$2:$B$458,Weekly_Data!$A$2:$A$458,"&gt;="&amp;$A70,Weekly_Data!$A$2:$A$458,"&lt;"&amp;EDATE($A70,1))</f>
        <v>153.57</v>
      </c>
      <c r="C70" s="21" t="n">
        <f aca="false">AVERAGEIFS(Weekly_Data!$C$2:$C$458,Weekly_Data!$A$2:$A$458,"&gt;="&amp;$A70,Weekly_Data!$A$2:$A$458,"&lt;"&amp;EDATE($A70,1))</f>
        <v>157.3925</v>
      </c>
      <c r="D70" s="12" t="n">
        <f aca="false">COUNTIFS(Weekly_Data!$A$2:$A$458,"&gt;="&amp;$A70,Weekly_Data!$A$2:$A$458,"&lt;"&amp;EDATE($A70,1))</f>
        <v>4</v>
      </c>
      <c r="E70" s="17" t="n">
        <f aca="false">C70-B70</f>
        <v>3.82250000000002</v>
      </c>
    </row>
    <row r="71" customFormat="false" ht="15" hidden="false" customHeight="false" outlineLevel="0" collapsed="false">
      <c r="A71" s="20" t="n">
        <v>45200</v>
      </c>
      <c r="B71" s="21" t="n">
        <f aca="false">AVERAGEIFS(Weekly_Data!$B$2:$B$458,Weekly_Data!$A$2:$A$458,"&gt;="&amp;$A71,Weekly_Data!$A$2:$A$458,"&lt;"&amp;EDATE($A71,1))</f>
        <v>155.13</v>
      </c>
      <c r="C71" s="21" t="n">
        <f aca="false">AVERAGEIFS(Weekly_Data!$C$2:$C$458,Weekly_Data!$A$2:$A$458,"&gt;="&amp;$A71,Weekly_Data!$A$2:$A$458,"&lt;"&amp;EDATE($A71,1))</f>
        <v>162.18</v>
      </c>
      <c r="D71" s="12" t="n">
        <f aca="false">COUNTIFS(Weekly_Data!$A$2:$A$458,"&gt;="&amp;$A71,Weekly_Data!$A$2:$A$458,"&lt;"&amp;EDATE($A71,1))</f>
        <v>5</v>
      </c>
      <c r="E71" s="17" t="n">
        <f aca="false">C71-B71</f>
        <v>7.05000000000001</v>
      </c>
    </row>
    <row r="72" customFormat="false" ht="15" hidden="false" customHeight="false" outlineLevel="0" collapsed="false">
      <c r="A72" s="20" t="n">
        <v>45231</v>
      </c>
      <c r="B72" s="21" t="n">
        <f aca="false">AVERAGEIFS(Weekly_Data!$B$2:$B$458,Weekly_Data!$A$2:$A$458,"&gt;="&amp;$A72,Weekly_Data!$A$2:$A$458,"&lt;"&amp;EDATE($A72,1))</f>
        <v>151.02</v>
      </c>
      <c r="C72" s="21" t="n">
        <f aca="false">AVERAGEIFS(Weekly_Data!$C$2:$C$458,Weekly_Data!$A$2:$A$458,"&gt;="&amp;$A72,Weekly_Data!$A$2:$A$458,"&lt;"&amp;EDATE($A72,1))</f>
        <v>158.9675</v>
      </c>
      <c r="D72" s="12" t="n">
        <f aca="false">COUNTIFS(Weekly_Data!$A$2:$A$458,"&gt;="&amp;$A72,Weekly_Data!$A$2:$A$458,"&lt;"&amp;EDATE($A72,1))</f>
        <v>4</v>
      </c>
      <c r="E72" s="17" t="n">
        <f aca="false">C72-B72</f>
        <v>7.94750000000002</v>
      </c>
    </row>
    <row r="73" customFormat="false" ht="15" hidden="false" customHeight="false" outlineLevel="0" collapsed="false">
      <c r="A73" s="20" t="n">
        <v>45261</v>
      </c>
      <c r="B73" s="21" t="n">
        <f aca="false">AVERAGEIFS(Weekly_Data!$B$2:$B$458,Weekly_Data!$A$2:$A$458,"&gt;="&amp;$A73,Weekly_Data!$A$2:$A$458,"&lt;"&amp;EDATE($A73,1))</f>
        <v>142.8375</v>
      </c>
      <c r="C73" s="21" t="n">
        <f aca="false">AVERAGEIFS(Weekly_Data!$C$2:$C$458,Weekly_Data!$A$2:$A$458,"&gt;="&amp;$A73,Weekly_Data!$A$2:$A$458,"&lt;"&amp;EDATE($A73,1))</f>
        <v>151.4325</v>
      </c>
      <c r="D73" s="12" t="n">
        <f aca="false">COUNTIFS(Weekly_Data!$A$2:$A$458,"&gt;="&amp;$A73,Weekly_Data!$A$2:$A$458,"&lt;"&amp;EDATE($A73,1))</f>
        <v>4</v>
      </c>
      <c r="E73" s="17" t="n">
        <f aca="false">C73-B73</f>
        <v>8.595</v>
      </c>
    </row>
    <row r="74" customFormat="false" ht="15" hidden="false" customHeight="false" outlineLevel="0" collapsed="false">
      <c r="A74" s="20" t="n">
        <v>45292</v>
      </c>
      <c r="B74" s="21" t="n">
        <f aca="false">AVERAGEIFS(Weekly_Data!$B$2:$B$458,Weekly_Data!$A$2:$A$458,"&gt;="&amp;$A74,Weekly_Data!$A$2:$A$458,"&lt;"&amp;EDATE($A74,1))</f>
        <v>139.858</v>
      </c>
      <c r="C74" s="21" t="n">
        <f aca="false">AVERAGEIFS(Weekly_Data!$C$2:$C$458,Weekly_Data!$A$2:$A$458,"&gt;="&amp;$A74,Weekly_Data!$A$2:$A$458,"&lt;"&amp;EDATE($A74,1))</f>
        <v>148.264</v>
      </c>
      <c r="D74" s="12" t="n">
        <f aca="false">COUNTIFS(Weekly_Data!$A$2:$A$458,"&gt;="&amp;$A74,Weekly_Data!$A$2:$A$458,"&lt;"&amp;EDATE($A74,1))</f>
        <v>5</v>
      </c>
      <c r="E74" s="17" t="n">
        <f aca="false">C74-B74</f>
        <v>8.40600000000001</v>
      </c>
    </row>
    <row r="75" customFormat="false" ht="15" hidden="false" customHeight="false" outlineLevel="0" collapsed="false">
      <c r="A75" s="20" t="n">
        <v>45323</v>
      </c>
      <c r="B75" s="21" t="n">
        <f aca="false">AVERAGEIFS(Weekly_Data!$B$2:$B$458,Weekly_Data!$A$2:$A$458,"&gt;="&amp;$A75,Weekly_Data!$A$2:$A$458,"&lt;"&amp;EDATE($A75,1))</f>
        <v>142.1625</v>
      </c>
      <c r="C75" s="21" t="n">
        <f aca="false">AVERAGEIFS(Weekly_Data!$C$2:$C$458,Weekly_Data!$A$2:$A$458,"&gt;="&amp;$A75,Weekly_Data!$A$2:$A$458,"&lt;"&amp;EDATE($A75,1))</f>
        <v>151.25</v>
      </c>
      <c r="D75" s="12" t="n">
        <f aca="false">COUNTIFS(Weekly_Data!$A$2:$A$458,"&gt;="&amp;$A75,Weekly_Data!$A$2:$A$458,"&lt;"&amp;EDATE($A75,1))</f>
        <v>4</v>
      </c>
      <c r="E75" s="17" t="n">
        <f aca="false">C75-B75</f>
        <v>9.08749999999998</v>
      </c>
    </row>
    <row r="76" customFormat="false" ht="15" hidden="false" customHeight="false" outlineLevel="0" collapsed="false">
      <c r="A76" s="20" t="n">
        <v>45352</v>
      </c>
      <c r="B76" s="21" t="n">
        <f aca="false">AVERAGEIFS(Weekly_Data!$B$2:$B$458,Weekly_Data!$A$2:$A$458,"&gt;="&amp;$A76,Weekly_Data!$A$2:$A$458,"&lt;"&amp;EDATE($A76,1))</f>
        <v>144.805</v>
      </c>
      <c r="C76" s="21" t="n">
        <f aca="false">AVERAGEIFS(Weekly_Data!$C$2:$C$458,Weekly_Data!$A$2:$A$458,"&gt;="&amp;$A76,Weekly_Data!$A$2:$A$458,"&lt;"&amp;EDATE($A76,1))</f>
        <v>154.1325</v>
      </c>
      <c r="D76" s="12" t="n">
        <f aca="false">COUNTIFS(Weekly_Data!$A$2:$A$458,"&gt;="&amp;$A76,Weekly_Data!$A$2:$A$458,"&lt;"&amp;EDATE($A76,1))</f>
        <v>4</v>
      </c>
      <c r="E76" s="17" t="n">
        <f aca="false">C76-B76</f>
        <v>9.32749999999999</v>
      </c>
    </row>
    <row r="77" customFormat="false" ht="15" hidden="false" customHeight="false" outlineLevel="0" collapsed="false">
      <c r="A77" s="20" t="n">
        <v>45383</v>
      </c>
      <c r="B77" s="21" t="n">
        <f aca="false">AVERAGEIFS(Weekly_Data!$B$2:$B$458,Weekly_Data!$A$2:$A$458,"&gt;="&amp;$A77,Weekly_Data!$A$2:$A$458,"&lt;"&amp;EDATE($A77,1))</f>
        <v>148.07</v>
      </c>
      <c r="C77" s="21" t="n">
        <f aca="false">AVERAGEIFS(Weekly_Data!$C$2:$C$458,Weekly_Data!$A$2:$A$458,"&gt;="&amp;$A77,Weekly_Data!$A$2:$A$458,"&lt;"&amp;EDATE($A77,1))</f>
        <v>157.142</v>
      </c>
      <c r="D77" s="12" t="n">
        <f aca="false">COUNTIFS(Weekly_Data!$A$2:$A$458,"&gt;="&amp;$A77,Weekly_Data!$A$2:$A$458,"&lt;"&amp;EDATE($A77,1))</f>
        <v>5</v>
      </c>
      <c r="E77" s="17" t="n">
        <f aca="false">C77-B77</f>
        <v>9.072</v>
      </c>
    </row>
    <row r="78" customFormat="false" ht="15" hidden="false" customHeight="false" outlineLevel="0" collapsed="false">
      <c r="A78" s="20" t="n">
        <v>45413</v>
      </c>
      <c r="B78" s="21" t="n">
        <f aca="false">AVERAGEIFS(Weekly_Data!$B$2:$B$458,Weekly_Data!$A$2:$A$458,"&gt;="&amp;$A78,Weekly_Data!$A$2:$A$458,"&lt;"&amp;EDATE($A78,1))</f>
        <v>148.8125</v>
      </c>
      <c r="C78" s="21" t="n">
        <f aca="false">AVERAGEIFS(Weekly_Data!$C$2:$C$458,Weekly_Data!$A$2:$A$458,"&gt;="&amp;$A78,Weekly_Data!$A$2:$A$458,"&lt;"&amp;EDATE($A78,1))</f>
        <v>156.3075</v>
      </c>
      <c r="D78" s="12" t="n">
        <f aca="false">COUNTIFS(Weekly_Data!$A$2:$A$458,"&gt;="&amp;$A78,Weekly_Data!$A$2:$A$458,"&lt;"&amp;EDATE($A78,1))</f>
        <v>4</v>
      </c>
      <c r="E78" s="17" t="n">
        <f aca="false">C78-B78</f>
        <v>7.495</v>
      </c>
    </row>
    <row r="79" customFormat="false" ht="15" hidden="false" customHeight="false" outlineLevel="0" collapsed="false">
      <c r="A79" s="20" t="n">
        <v>45444</v>
      </c>
      <c r="B79" s="21" t="n">
        <f aca="false">AVERAGEIFS(Weekly_Data!$B$2:$B$458,Weekly_Data!$A$2:$A$458,"&gt;="&amp;$A79,Weekly_Data!$A$2:$A$458,"&lt;"&amp;EDATE($A79,1))</f>
        <v>145.76</v>
      </c>
      <c r="C79" s="21" t="n">
        <f aca="false">AVERAGEIFS(Weekly_Data!$C$2:$C$458,Weekly_Data!$A$2:$A$458,"&gt;="&amp;$A79,Weekly_Data!$A$2:$A$458,"&lt;"&amp;EDATE($A79,1))</f>
        <v>151.5175</v>
      </c>
      <c r="D79" s="12" t="n">
        <f aca="false">COUNTIFS(Weekly_Data!$A$2:$A$458,"&gt;="&amp;$A79,Weekly_Data!$A$2:$A$458,"&lt;"&amp;EDATE($A79,1))</f>
        <v>4</v>
      </c>
      <c r="E79" s="17" t="n">
        <f aca="false">C79-B79</f>
        <v>5.75749999999999</v>
      </c>
    </row>
    <row r="80" customFormat="false" ht="15" hidden="false" customHeight="false" outlineLevel="0" collapsed="false">
      <c r="A80" s="20" t="n">
        <v>45474</v>
      </c>
      <c r="B80" s="21" t="n">
        <f aca="false">AVERAGEIFS(Weekly_Data!$B$2:$B$458,Weekly_Data!$A$2:$A$458,"&gt;="&amp;$A80,Weekly_Data!$A$2:$A$458,"&lt;"&amp;EDATE($A80,1))</f>
        <v>144.442</v>
      </c>
      <c r="C80" s="21" t="n">
        <f aca="false">AVERAGEIFS(Weekly_Data!$C$2:$C$458,Weekly_Data!$A$2:$A$458,"&gt;="&amp;$A80,Weekly_Data!$A$2:$A$458,"&lt;"&amp;EDATE($A80,1))</f>
        <v>150.352</v>
      </c>
      <c r="D80" s="12" t="n">
        <f aca="false">COUNTIFS(Weekly_Data!$A$2:$A$458,"&gt;="&amp;$A80,Weekly_Data!$A$2:$A$458,"&lt;"&amp;EDATE($A80,1))</f>
        <v>5</v>
      </c>
      <c r="E80" s="17" t="n">
        <f aca="false">C80-B80</f>
        <v>5.91</v>
      </c>
    </row>
    <row r="81" customFormat="false" ht="15" hidden="false" customHeight="false" outlineLevel="0" collapsed="false">
      <c r="A81" s="20" t="n">
        <v>45505</v>
      </c>
      <c r="B81" s="21" t="n">
        <f aca="false">AVERAGEIFS(Weekly_Data!$B$2:$B$458,Weekly_Data!$A$2:$A$458,"&gt;="&amp;$A81,Weekly_Data!$A$2:$A$458,"&lt;"&amp;EDATE($A81,1))</f>
        <v>142.325</v>
      </c>
      <c r="C81" s="21" t="n">
        <f aca="false">AVERAGEIFS(Weekly_Data!$C$2:$C$458,Weekly_Data!$A$2:$A$458,"&gt;="&amp;$A81,Weekly_Data!$A$2:$A$458,"&lt;"&amp;EDATE($A81,1))</f>
        <v>147.7875</v>
      </c>
      <c r="D81" s="12" t="n">
        <f aca="false">COUNTIFS(Weekly_Data!$A$2:$A$458,"&gt;="&amp;$A81,Weekly_Data!$A$2:$A$458,"&lt;"&amp;EDATE($A81,1))</f>
        <v>4</v>
      </c>
      <c r="E81" s="17" t="n">
        <f aca="false">C81-B81</f>
        <v>5.46250000000001</v>
      </c>
    </row>
    <row r="82" customFormat="false" ht="15" hidden="false" customHeight="false" outlineLevel="0" collapsed="false">
      <c r="A82" s="20" t="n">
        <v>45536</v>
      </c>
      <c r="B82" s="21" t="n">
        <f aca="false">AVERAGEIFS(Weekly_Data!$B$2:$B$458,Weekly_Data!$A$2:$A$458,"&gt;="&amp;$A82,Weekly_Data!$A$2:$A$458,"&lt;"&amp;EDATE($A82,1))</f>
        <v>136.796</v>
      </c>
      <c r="C82" s="21" t="n">
        <f aca="false">AVERAGEIFS(Weekly_Data!$C$2:$C$458,Weekly_Data!$A$2:$A$458,"&gt;="&amp;$A82,Weekly_Data!$A$2:$A$458,"&lt;"&amp;EDATE($A82,1))</f>
        <v>141.814</v>
      </c>
      <c r="D82" s="12" t="n">
        <f aca="false">COUNTIFS(Weekly_Data!$A$2:$A$458,"&gt;="&amp;$A82,Weekly_Data!$A$2:$A$458,"&lt;"&amp;EDATE($A82,1))</f>
        <v>5</v>
      </c>
      <c r="E82" s="17" t="n">
        <f aca="false">C82-B82</f>
        <v>5.01800000000003</v>
      </c>
    </row>
    <row r="83" customFormat="false" ht="15" hidden="false" customHeight="false" outlineLevel="0" collapsed="false">
      <c r="A83" s="20" t="n">
        <v>45566</v>
      </c>
      <c r="B83" s="21" t="n">
        <f aca="false">AVERAGEIFS(Weekly_Data!$B$2:$B$458,Weekly_Data!$A$2:$A$458,"&gt;="&amp;$A83,Weekly_Data!$A$2:$A$458,"&lt;"&amp;EDATE($A83,1))</f>
        <v>133.9625</v>
      </c>
      <c r="C83" s="21" t="n">
        <f aca="false">AVERAGEIFS(Weekly_Data!$C$2:$C$458,Weekly_Data!$A$2:$A$458,"&gt;="&amp;$A83,Weekly_Data!$A$2:$A$458,"&lt;"&amp;EDATE($A83,1))</f>
        <v>139.1275</v>
      </c>
      <c r="D83" s="12" t="n">
        <f aca="false">COUNTIFS(Weekly_Data!$A$2:$A$458,"&gt;="&amp;$A83,Weekly_Data!$A$2:$A$458,"&lt;"&amp;EDATE($A83,1))</f>
        <v>4</v>
      </c>
      <c r="E83" s="17" t="n">
        <f aca="false">C83-B83</f>
        <v>5.16499999999999</v>
      </c>
    </row>
    <row r="84" customFormat="false" ht="15" hidden="false" customHeight="false" outlineLevel="0" collapsed="false">
      <c r="A84" s="20" t="n">
        <v>45597</v>
      </c>
      <c r="B84" s="21" t="n">
        <f aca="false">AVERAGEIFS(Weekly_Data!$B$2:$B$458,Weekly_Data!$A$2:$A$458,"&gt;="&amp;$A84,Weekly_Data!$A$2:$A$458,"&lt;"&amp;EDATE($A84,1))</f>
        <v>134.805</v>
      </c>
      <c r="C84" s="21" t="n">
        <f aca="false">AVERAGEIFS(Weekly_Data!$C$2:$C$458,Weekly_Data!$A$2:$A$458,"&gt;="&amp;$A84,Weekly_Data!$A$2:$A$458,"&lt;"&amp;EDATE($A84,1))</f>
        <v>140.465</v>
      </c>
      <c r="D84" s="12" t="n">
        <f aca="false">COUNTIFS(Weekly_Data!$A$2:$A$458,"&gt;="&amp;$A84,Weekly_Data!$A$2:$A$458,"&lt;"&amp;EDATE($A84,1))</f>
        <v>4</v>
      </c>
      <c r="E84" s="17" t="n">
        <f aca="false">C84-B84</f>
        <v>5.66</v>
      </c>
    </row>
    <row r="85" customFormat="false" ht="15" hidden="false" customHeight="false" outlineLevel="0" collapsed="false">
      <c r="A85" s="20" t="n">
        <v>45627</v>
      </c>
      <c r="B85" s="21" t="n">
        <f aca="false">AVERAGEIFS(Weekly_Data!$B$2:$B$458,Weekly_Data!$A$2:$A$458,"&gt;="&amp;$A85,Weekly_Data!$A$2:$A$458,"&lt;"&amp;EDATE($A85,1))</f>
        <v>136.286</v>
      </c>
      <c r="C85" s="21" t="n">
        <f aca="false">AVERAGEIFS(Weekly_Data!$C$2:$C$458,Weekly_Data!$A$2:$A$458,"&gt;="&amp;$A85,Weekly_Data!$A$2:$A$458,"&lt;"&amp;EDATE($A85,1))</f>
        <v>142.614</v>
      </c>
      <c r="D85" s="12" t="n">
        <f aca="false">COUNTIFS(Weekly_Data!$A$2:$A$458,"&gt;="&amp;$A85,Weekly_Data!$A$2:$A$458,"&lt;"&amp;EDATE($A85,1))</f>
        <v>5</v>
      </c>
      <c r="E85" s="17" t="n">
        <f aca="false">C85-B85</f>
        <v>6.32799999999997</v>
      </c>
    </row>
    <row r="86" customFormat="false" ht="15" hidden="false" customHeight="false" outlineLevel="0" collapsed="false">
      <c r="A86" s="20" t="n">
        <v>45658</v>
      </c>
      <c r="B86" s="21" t="n">
        <f aca="false">AVERAGEIFS(Weekly_Data!$B$2:$B$458,Weekly_Data!$A$2:$A$458,"&gt;="&amp;$A86,Weekly_Data!$A$2:$A$458,"&lt;"&amp;EDATE($A86,1))</f>
        <v>137.11</v>
      </c>
      <c r="C86" s="21" t="n">
        <f aca="false">AVERAGEIFS(Weekly_Data!$C$2:$C$458,Weekly_Data!$A$2:$A$458,"&gt;="&amp;$A86,Weekly_Data!$A$2:$A$458,"&lt;"&amp;EDATE($A86,1))</f>
        <v>144.1175</v>
      </c>
      <c r="D86" s="12" t="n">
        <f aca="false">COUNTIFS(Weekly_Data!$A$2:$A$458,"&gt;="&amp;$A86,Weekly_Data!$A$2:$A$458,"&lt;"&amp;EDATE($A86,1))</f>
        <v>4</v>
      </c>
      <c r="E86" s="17" t="n">
        <f aca="false">C86-B86</f>
        <v>7.00749999999999</v>
      </c>
    </row>
    <row r="87" customFormat="false" ht="15" hidden="false" customHeight="false" outlineLevel="0" collapsed="false">
      <c r="A87" s="20" t="n">
        <v>45689</v>
      </c>
      <c r="B87" s="21" t="n">
        <f aca="false">AVERAGEIFS(Weekly_Data!$B$2:$B$458,Weekly_Data!$A$2:$A$458,"&gt;="&amp;$A87,Weekly_Data!$A$2:$A$458,"&lt;"&amp;EDATE($A87,1))</f>
        <v>139.15</v>
      </c>
      <c r="C87" s="21" t="n">
        <f aca="false">AVERAGEIFS(Weekly_Data!$C$2:$C$458,Weekly_Data!$A$2:$A$458,"&gt;="&amp;$A87,Weekly_Data!$A$2:$A$458,"&lt;"&amp;EDATE($A87,1))</f>
        <v>146.4225</v>
      </c>
      <c r="D87" s="12" t="n">
        <f aca="false">COUNTIFS(Weekly_Data!$A$2:$A$458,"&gt;="&amp;$A87,Weekly_Data!$A$2:$A$458,"&lt;"&amp;EDATE($A87,1))</f>
        <v>4</v>
      </c>
      <c r="E87" s="17" t="n">
        <f aca="false">C87-B87</f>
        <v>7.27249999999998</v>
      </c>
    </row>
    <row r="88" customFormat="false" ht="15" hidden="false" customHeight="false" outlineLevel="0" collapsed="false">
      <c r="A88" s="20" t="n">
        <v>45717</v>
      </c>
      <c r="B88" s="21" t="n">
        <f aca="false">AVERAGEIFS(Weekly_Data!$B$2:$B$458,Weekly_Data!$A$2:$A$458,"&gt;="&amp;$A88,Weekly_Data!$A$2:$A$458,"&lt;"&amp;EDATE($A88,1))</f>
        <v>137.504</v>
      </c>
      <c r="C88" s="21" t="n">
        <f aca="false">AVERAGEIFS(Weekly_Data!$C$2:$C$458,Weekly_Data!$A$2:$A$458,"&gt;="&amp;$A88,Weekly_Data!$A$2:$A$458,"&lt;"&amp;EDATE($A88,1))</f>
        <v>144.834</v>
      </c>
      <c r="D88" s="12" t="n">
        <f aca="false">COUNTIFS(Weekly_Data!$A$2:$A$458,"&gt;="&amp;$A88,Weekly_Data!$A$2:$A$458,"&lt;"&amp;EDATE($A88,1))</f>
        <v>5</v>
      </c>
      <c r="E88" s="17" t="n">
        <f aca="false">C88-B88</f>
        <v>7.33000000000001</v>
      </c>
    </row>
    <row r="89" customFormat="false" ht="15" hidden="false" customHeight="false" outlineLevel="0" collapsed="false">
      <c r="A89" s="20" t="n">
        <v>45748</v>
      </c>
      <c r="B89" s="21" t="n">
        <f aca="false">AVERAGEIFS(Weekly_Data!$B$2:$B$458,Weekly_Data!$A$2:$A$458,"&gt;="&amp;$A89,Weekly_Data!$A$2:$A$458,"&lt;"&amp;EDATE($A89,1))</f>
        <v>134.55</v>
      </c>
      <c r="C89" s="21" t="n">
        <f aca="false">AVERAGEIFS(Weekly_Data!$C$2:$C$458,Weekly_Data!$A$2:$A$458,"&gt;="&amp;$A89,Weekly_Data!$A$2:$A$458,"&lt;"&amp;EDATE($A89,1))</f>
        <v>141.69</v>
      </c>
      <c r="D89" s="12" t="n">
        <f aca="false">COUNTIFS(Weekly_Data!$A$2:$A$458,"&gt;="&amp;$A89,Weekly_Data!$A$2:$A$458,"&lt;"&amp;EDATE($A89,1))</f>
        <v>4</v>
      </c>
      <c r="E89" s="17" t="n">
        <f aca="false">C89-B89</f>
        <v>7.13999999999999</v>
      </c>
    </row>
    <row r="90" customFormat="false" ht="15" hidden="false" customHeight="false" outlineLevel="0" collapsed="false">
      <c r="A90" s="20" t="n">
        <v>45778</v>
      </c>
      <c r="B90" s="21" t="n">
        <f aca="false">AVERAGEIFS(Weekly_Data!$B$2:$B$458,Weekly_Data!$A$2:$A$458,"&gt;="&amp;$A90,Weekly_Data!$A$2:$A$458,"&lt;"&amp;EDATE($A90,1))</f>
        <v>132.39</v>
      </c>
      <c r="C90" s="21" t="n">
        <f aca="false">AVERAGEIFS(Weekly_Data!$C$2:$C$458,Weekly_Data!$A$2:$A$458,"&gt;="&amp;$A90,Weekly_Data!$A$2:$A$458,"&lt;"&amp;EDATE($A90,1))</f>
        <v>139.05</v>
      </c>
      <c r="D90" s="12" t="n">
        <f aca="false">COUNTIFS(Weekly_Data!$A$2:$A$458,"&gt;="&amp;$A90,Weekly_Data!$A$2:$A$458,"&lt;"&amp;EDATE($A90,1))</f>
        <v>4</v>
      </c>
      <c r="E90" s="17" t="n">
        <f aca="false">C90-B90</f>
        <v>6.66000000000003</v>
      </c>
    </row>
    <row r="91" customFormat="false" ht="15" hidden="false" customHeight="false" outlineLevel="0" collapsed="false">
      <c r="A91" s="20" t="n">
        <v>45809</v>
      </c>
      <c r="B91" s="21" t="n">
        <f aca="false">AVERAGEIFS(Weekly_Data!$B$2:$B$458,Weekly_Data!$A$2:$A$458,"&gt;="&amp;$A91,Weekly_Data!$A$2:$A$458,"&lt;"&amp;EDATE($A91,1))</f>
        <v>131.894</v>
      </c>
      <c r="C91" s="21" t="n">
        <f aca="false">AVERAGEIFS(Weekly_Data!$C$2:$C$458,Weekly_Data!$A$2:$A$458,"&gt;="&amp;$A91,Weekly_Data!$A$2:$A$458,"&lt;"&amp;EDATE($A91,1))</f>
        <v>138.492</v>
      </c>
      <c r="D91" s="12" t="n">
        <f aca="false">COUNTIFS(Weekly_Data!$A$2:$A$458,"&gt;="&amp;$A91,Weekly_Data!$A$2:$A$458,"&lt;"&amp;EDATE($A91,1))</f>
        <v>5</v>
      </c>
      <c r="E91" s="17" t="n">
        <f aca="false">C91-B91</f>
        <v>6.59800000000001</v>
      </c>
    </row>
    <row r="92" customFormat="false" ht="15" hidden="false" customHeight="false" outlineLevel="0" collapsed="false">
      <c r="A92" s="20" t="n">
        <v>45839</v>
      </c>
      <c r="B92" s="21" t="n">
        <f aca="false">AVERAGEIFS(Weekly_Data!$B$2:$B$458,Weekly_Data!$A$2:$A$458,"&gt;="&amp;$A92,Weekly_Data!$A$2:$A$458,"&lt;"&amp;EDATE($A92,1))</f>
        <v>133.8675</v>
      </c>
      <c r="C92" s="21" t="n">
        <f aca="false">AVERAGEIFS(Weekly_Data!$C$2:$C$458,Weekly_Data!$A$2:$A$458,"&gt;="&amp;$A92,Weekly_Data!$A$2:$A$458,"&lt;"&amp;EDATE($A92,1))</f>
        <v>141.3825</v>
      </c>
      <c r="D92" s="12" t="n">
        <f aca="false">COUNTIFS(Weekly_Data!$A$2:$A$458,"&gt;="&amp;$A92,Weekly_Data!$A$2:$A$458,"&lt;"&amp;EDATE($A92,1))</f>
        <v>4</v>
      </c>
      <c r="E92" s="17" t="n">
        <f aca="false">C92-B92</f>
        <v>7.51499999999999</v>
      </c>
    </row>
    <row r="93" customFormat="false" ht="15" hidden="false" customHeight="false" outlineLevel="0" collapsed="false">
      <c r="A93" s="20" t="n">
        <v>45870</v>
      </c>
      <c r="B93" s="21" t="n">
        <f aca="false">AVERAGEIFS(Weekly_Data!$B$2:$B$458,Weekly_Data!$A$2:$A$458,"&gt;="&amp;$A93,Weekly_Data!$A$2:$A$458,"&lt;"&amp;EDATE($A93,1))</f>
        <v>134.225</v>
      </c>
      <c r="C93" s="21" t="n">
        <f aca="false">AVERAGEIFS(Weekly_Data!$C$2:$C$458,Weekly_Data!$A$2:$A$458,"&gt;="&amp;$A93,Weekly_Data!$A$2:$A$458,"&lt;"&amp;EDATE($A93,1))</f>
        <v>142.1775</v>
      </c>
      <c r="D93" s="12" t="n">
        <f aca="false">COUNTIFS(Weekly_Data!$A$2:$A$458,"&gt;="&amp;$A93,Weekly_Data!$A$2:$A$458,"&lt;"&amp;EDATE($A93,1))</f>
        <v>4</v>
      </c>
      <c r="E93" s="17" t="n">
        <f aca="false">C93-B93</f>
        <v>7.95250000000002</v>
      </c>
    </row>
    <row r="94" customFormat="false" ht="15" hidden="false" customHeight="false" outlineLevel="0" collapsed="false">
      <c r="A94" s="20" t="n">
        <v>45901</v>
      </c>
      <c r="B94" s="21" t="n">
        <f aca="false">AVERAGEIFS(Weekly_Data!$B$2:$B$458,Weekly_Data!$A$2:$A$458,"&gt;="&amp;$A94,Weekly_Data!$A$2:$A$458,"&lt;"&amp;EDATE($A94,1))</f>
        <v>133.98</v>
      </c>
      <c r="C94" s="21" t="n">
        <f aca="false">AVERAGEIFS(Weekly_Data!$C$2:$C$458,Weekly_Data!$A$2:$A$458,"&gt;="&amp;$A94,Weekly_Data!$A$2:$A$458,"&lt;"&amp;EDATE($A94,1))</f>
        <v>141.836</v>
      </c>
      <c r="D94" s="12" t="n">
        <f aca="false">COUNTIFS(Weekly_Data!$A$2:$A$458,"&gt;="&amp;$A94,Weekly_Data!$A$2:$A$458,"&lt;"&amp;EDATE($A94,1))</f>
        <v>5</v>
      </c>
      <c r="E94" s="17" t="n">
        <f aca="false">C94-B94</f>
        <v>7.85599999999999</v>
      </c>
    </row>
    <row r="95" customFormat="false" ht="15" hidden="false" customHeight="false" outlineLevel="0" collapsed="false">
      <c r="A95" s="20" t="n">
        <v>45931</v>
      </c>
      <c r="B95" s="21" t="n">
        <f aca="false">AVERAGEIFS(Weekly_Data!$B$2:$B$458,Weekly_Data!$A$2:$A$458,"&gt;="&amp;$A95,Weekly_Data!$A$2:$A$458,"&lt;"&amp;EDATE($A95,1))</f>
        <v>134.665</v>
      </c>
      <c r="C95" s="21" t="n">
        <f aca="false">AVERAGEIFS(Weekly_Data!$C$2:$C$458,Weekly_Data!$A$2:$A$458,"&gt;="&amp;$A95,Weekly_Data!$A$2:$A$458,"&lt;"&amp;EDATE($A95,1))</f>
        <v>142.775</v>
      </c>
      <c r="D95" s="12" t="n">
        <f aca="false">COUNTIFS(Weekly_Data!$A$2:$A$458,"&gt;="&amp;$A95,Weekly_Data!$A$2:$A$458,"&lt;"&amp;EDATE($A95,1))</f>
        <v>4</v>
      </c>
      <c r="E95" s="17" t="n">
        <f aca="false">C95-B95</f>
        <v>8.11000000000001</v>
      </c>
    </row>
    <row r="96" customFormat="false" ht="15" hidden="false" customHeight="false" outlineLevel="0" collapsed="false">
      <c r="A96" s="20" t="n">
        <v>45962</v>
      </c>
      <c r="B96" s="21" t="n">
        <f aca="false">AVERAGEIFS(Weekly_Data!$B$2:$B$458,Weekly_Data!$A$2:$A$458,"&gt;="&amp;$A96,Weekly_Data!$A$2:$A$458,"&lt;"&amp;EDATE($A96,1))</f>
        <v>135.0425</v>
      </c>
      <c r="C96" s="21" t="n">
        <f aca="false">AVERAGEIFS(Weekly_Data!$C$2:$C$458,Weekly_Data!$A$2:$A$458,"&gt;="&amp;$A96,Weekly_Data!$A$2:$A$458,"&lt;"&amp;EDATE($A96,1))</f>
        <v>143.8225</v>
      </c>
      <c r="D96" s="12" t="n">
        <f aca="false">COUNTIFS(Weekly_Data!$A$2:$A$458,"&gt;="&amp;$A96,Weekly_Data!$A$2:$A$458,"&lt;"&amp;EDATE($A96,1))</f>
        <v>4</v>
      </c>
      <c r="E96" s="17" t="n">
        <f aca="false">C96-B96</f>
        <v>8.78</v>
      </c>
    </row>
    <row r="97" customFormat="false" ht="15" hidden="false" customHeight="false" outlineLevel="0" collapsed="false">
      <c r="A97" s="20" t="n">
        <v>45992</v>
      </c>
      <c r="B97" s="21" t="n">
        <f aca="false">AVERAGEIFS(Weekly_Data!$B$2:$B$458,Weekly_Data!$A$2:$A$458,"&gt;="&amp;$A97,Weekly_Data!$A$2:$A$458,"&lt;"&amp;EDATE($A97,1))</f>
        <v>136.338</v>
      </c>
      <c r="C97" s="21" t="n">
        <f aca="false">AVERAGEIFS(Weekly_Data!$C$2:$C$458,Weekly_Data!$A$2:$A$458,"&gt;="&amp;$A97,Weekly_Data!$A$2:$A$458,"&lt;"&amp;EDATE($A97,1))</f>
        <v>145.722</v>
      </c>
      <c r="D97" s="12" t="n">
        <f aca="false">COUNTIFS(Weekly_Data!$A$2:$A$458,"&gt;="&amp;$A97,Weekly_Data!$A$2:$A$458,"&lt;"&amp;EDATE($A97,1))</f>
        <v>5</v>
      </c>
      <c r="E97" s="17" t="n">
        <f aca="false">C97-B97</f>
        <v>9.38399999999996</v>
      </c>
    </row>
    <row r="98" customFormat="false" ht="15" hidden="false" customHeight="false" outlineLevel="0" collapsed="false">
      <c r="A98" s="20" t="n">
        <v>46023</v>
      </c>
      <c r="B98" s="21" t="n">
        <f aca="false">AVERAGEIFS(Weekly_Data!$B$2:$B$458,Weekly_Data!$A$2:$A$458,"&gt;="&amp;$A98,Weekly_Data!$A$2:$A$458,"&lt;"&amp;EDATE($A98,1))</f>
        <v>133.2425</v>
      </c>
      <c r="C98" s="21" t="n">
        <f aca="false">AVERAGEIFS(Weekly_Data!$C$2:$C$458,Weekly_Data!$A$2:$A$458,"&gt;="&amp;$A98,Weekly_Data!$A$2:$A$458,"&lt;"&amp;EDATE($A98,1))</f>
        <v>142.475</v>
      </c>
      <c r="D98" s="12" t="n">
        <f aca="false">COUNTIFS(Weekly_Data!$A$2:$A$458,"&gt;="&amp;$A98,Weekly_Data!$A$2:$A$458,"&lt;"&amp;EDATE($A98,1))</f>
        <v>4</v>
      </c>
      <c r="E98" s="17" t="n">
        <f aca="false">C98-B98</f>
        <v>9.23249999999999</v>
      </c>
    </row>
    <row r="99" customFormat="false" ht="15" hidden="false" customHeight="false" outlineLevel="0" collapsed="false">
      <c r="A99" s="20" t="n">
        <v>46054</v>
      </c>
      <c r="B99" s="21" t="n">
        <f aca="false">AVERAGEIFS(Weekly_Data!$B$2:$B$458,Weekly_Data!$A$2:$A$458,"&gt;="&amp;$A99,Weekly_Data!$A$2:$A$458,"&lt;"&amp;EDATE($A99,1))</f>
        <v>131.5975</v>
      </c>
      <c r="C99" s="21" t="n">
        <f aca="false">AVERAGEIFS(Weekly_Data!$C$2:$C$458,Weekly_Data!$A$2:$A$458,"&gt;="&amp;$A99,Weekly_Data!$A$2:$A$458,"&lt;"&amp;EDATE($A99,1))</f>
        <v>141.115</v>
      </c>
      <c r="D99" s="12" t="n">
        <f aca="false">COUNTIFS(Weekly_Data!$A$2:$A$458,"&gt;="&amp;$A99,Weekly_Data!$A$2:$A$458,"&lt;"&amp;EDATE($A99,1))</f>
        <v>4</v>
      </c>
      <c r="E99" s="17" t="n">
        <f aca="false">C99-B99</f>
        <v>9.51750000000001</v>
      </c>
    </row>
    <row r="100" customFormat="false" ht="15" hidden="false" customHeight="false" outlineLevel="0" collapsed="false">
      <c r="A100" s="20" t="n">
        <v>46082</v>
      </c>
      <c r="B100" s="21" t="n">
        <f aca="false">AVERAGEIFS(Weekly_Data!$B$2:$B$458,Weekly_Data!$A$2:$A$458,"&gt;="&amp;$A100,Weekly_Data!$A$2:$A$458,"&lt;"&amp;EDATE($A100,1))</f>
        <v>140.206</v>
      </c>
      <c r="C100" s="21" t="n">
        <f aca="false">AVERAGEIFS(Weekly_Data!$C$2:$C$458,Weekly_Data!$A$2:$A$458,"&gt;="&amp;$A100,Weekly_Data!$A$2:$A$458,"&lt;"&amp;EDATE($A100,1))</f>
        <v>158.668</v>
      </c>
      <c r="D100" s="12" t="n">
        <f aca="false">COUNTIFS(Weekly_Data!$A$2:$A$458,"&gt;="&amp;$A100,Weekly_Data!$A$2:$A$458,"&lt;"&amp;EDATE($A100,1))</f>
        <v>5</v>
      </c>
      <c r="E100" s="17" t="n">
        <f aca="false">C100-B100</f>
        <v>18.462</v>
      </c>
    </row>
    <row r="101" customFormat="false" ht="15" hidden="false" customHeight="false" outlineLevel="0" collapsed="false">
      <c r="A101" s="20" t="n">
        <v>46113</v>
      </c>
      <c r="B101" s="21" t="n">
        <f aca="false">AVERAGEIFS(Weekly_Data!$B$2:$B$458,Weekly_Data!$A$2:$A$458,"&gt;="&amp;$A101,Weekly_Data!$A$2:$A$458,"&lt;"&amp;EDATE($A101,1))</f>
        <v>156.8575</v>
      </c>
      <c r="C101" s="21" t="n">
        <f aca="false">AVERAGEIFS(Weekly_Data!$C$2:$C$458,Weekly_Data!$A$2:$A$458,"&gt;="&amp;$A101,Weekly_Data!$A$2:$A$458,"&lt;"&amp;EDATE($A101,1))</f>
        <v>189.985</v>
      </c>
      <c r="D101" s="12" t="n">
        <f aca="false">COUNTIFS(Weekly_Data!$A$2:$A$458,"&gt;="&amp;$A101,Weekly_Data!$A$2:$A$458,"&lt;"&amp;EDATE($A101,1))</f>
        <v>4</v>
      </c>
      <c r="E101" s="17" t="n">
        <f aca="false">C101-B101</f>
        <v>33.1275</v>
      </c>
    </row>
    <row r="102" customFormat="false" ht="15" hidden="false" customHeight="false" outlineLevel="0" collapsed="false">
      <c r="A102" s="20" t="n">
        <v>46143</v>
      </c>
      <c r="B102" s="21" t="n">
        <f aca="false">AVERAGEIFS(Weekly_Data!$B$2:$B$458,Weekly_Data!$A$2:$A$458,"&gt;="&amp;$A102,Weekly_Data!$A$2:$A$458,"&lt;"&amp;EDATE($A102,1))</f>
        <v>157.45</v>
      </c>
      <c r="C102" s="21" t="n">
        <f aca="false">AVERAGEIFS(Weekly_Data!$C$2:$C$458,Weekly_Data!$A$2:$A$458,"&gt;="&amp;$A102,Weekly_Data!$A$2:$A$458,"&lt;"&amp;EDATE($A102,1))</f>
        <v>187.14</v>
      </c>
      <c r="D102" s="12" t="n">
        <f aca="false">COUNTIFS(Weekly_Data!$A$2:$A$458,"&gt;="&amp;$A102,Weekly_Data!$A$2:$A$458,"&lt;"&amp;EDATE($A102,1))</f>
        <v>4</v>
      </c>
      <c r="E102" s="17" t="n">
        <f aca="false">C102-B102</f>
        <v>29.69</v>
      </c>
    </row>
    <row r="103" customFormat="false" ht="15" hidden="false" customHeight="false" outlineLevel="0" collapsed="false">
      <c r="A103" s="20" t="n">
        <v>46174</v>
      </c>
      <c r="B103" s="21" t="n">
        <f aca="false">AVERAGEIFS(Weekly_Data!$B$2:$B$458,Weekly_Data!$A$2:$A$458,"&gt;="&amp;$A103,Weekly_Data!$A$2:$A$458,"&lt;"&amp;EDATE($A103,1))</f>
        <v>155.302</v>
      </c>
      <c r="C103" s="21" t="n">
        <f aca="false">AVERAGEIFS(Weekly_Data!$C$2:$C$458,Weekly_Data!$A$2:$A$458,"&gt;="&amp;$A103,Weekly_Data!$A$2:$A$458,"&lt;"&amp;EDATE($A103,1))</f>
        <v>176.44</v>
      </c>
      <c r="D103" s="12" t="n">
        <f aca="false">COUNTIFS(Weekly_Data!$A$2:$A$458,"&gt;="&amp;$A103,Weekly_Data!$A$2:$A$458,"&lt;"&amp;EDATE($A103,1))</f>
        <v>5</v>
      </c>
      <c r="E103" s="17" t="n">
        <f aca="false">C103-B103</f>
        <v>21.138</v>
      </c>
    </row>
    <row r="104" customFormat="false" ht="15" hidden="false" customHeight="false" outlineLevel="0" collapsed="false">
      <c r="A104" s="20" t="n">
        <v>46204</v>
      </c>
      <c r="B104" s="21" t="n">
        <f aca="false">AVERAGEIFS(Weekly_Data!$B$2:$B$458,Weekly_Data!$A$2:$A$458,"&gt;="&amp;$A104,Weekly_Data!$A$2:$A$458,"&lt;"&amp;EDATE($A104,1))</f>
        <v>152.1875</v>
      </c>
      <c r="C104" s="21" t="n">
        <f aca="false">AVERAGEIFS(Weekly_Data!$C$2:$C$458,Weekly_Data!$A$2:$A$458,"&gt;="&amp;$A104,Weekly_Data!$A$2:$A$458,"&lt;"&amp;EDATE($A104,1))</f>
        <v>167.585</v>
      </c>
      <c r="D104" s="12" t="n">
        <f aca="false">COUNTIFS(Weekly_Data!$A$2:$A$458,"&gt;="&amp;$A104,Weekly_Data!$A$2:$A$458,"&lt;"&amp;EDATE($A104,1))</f>
        <v>4</v>
      </c>
      <c r="E104" s="17" t="n">
        <f aca="false">C104-B104</f>
        <v>15.3975</v>
      </c>
    </row>
    <row r="105" customFormat="false" ht="15" hidden="false" customHeight="false" outlineLevel="0" collapsed="false">
      <c r="A105" s="20" t="n">
        <v>46235</v>
      </c>
      <c r="B105" s="21" t="n">
        <f aca="false">AVERAGEIFS(Weekly_Data!$B$2:$B$458,Weekly_Data!$A$2:$A$458,"&gt;="&amp;$A105,Weekly_Data!$A$2:$A$458,"&lt;"&amp;EDATE($A105,1))</f>
        <v>161.416</v>
      </c>
      <c r="C105" s="21" t="n">
        <f aca="false">AVERAGEIFS(Weekly_Data!$C$2:$C$458,Weekly_Data!$A$2:$A$458,"&gt;="&amp;$A105,Weekly_Data!$A$2:$A$458,"&lt;"&amp;EDATE($A105,1))</f>
        <v>181.984</v>
      </c>
      <c r="D105" s="12" t="n">
        <f aca="false">COUNTIFS(Weekly_Data!$A$2:$A$458,"&gt;="&amp;$A105,Weekly_Data!$A$2:$A$458,"&lt;"&amp;EDATE($A105,1))</f>
        <v>5</v>
      </c>
      <c r="E105" s="17" t="n">
        <f aca="false">C105-B105</f>
        <v>20.568</v>
      </c>
    </row>
    <row r="106" customFormat="false" ht="15" hidden="false" customHeight="false" outlineLevel="0" collapsed="false">
      <c r="A106" s="20" t="n">
        <v>46266</v>
      </c>
      <c r="B106" s="21" t="n">
        <f aca="false">AVERAGEIFS(Weekly_Data!$B$2:$B$458,Weekly_Data!$A$2:$A$458,"&gt;="&amp;$A106,Weekly_Data!$A$2:$A$458,"&lt;"&amp;EDATE($A106,1))</f>
        <v>169.5025</v>
      </c>
      <c r="C106" s="21" t="n">
        <f aca="false">AVERAGEIFS(Weekly_Data!$C$2:$C$458,Weekly_Data!$A$2:$A$458,"&gt;="&amp;$A106,Weekly_Data!$A$2:$A$458,"&lt;"&amp;EDATE($A106,1))</f>
        <v>192.5475</v>
      </c>
      <c r="D106" s="12" t="n">
        <f aca="false">COUNTIFS(Weekly_Data!$A$2:$A$458,"&gt;="&amp;$A106,Weekly_Data!$A$2:$A$458,"&lt;"&amp;EDATE($A106,1))</f>
        <v>4</v>
      </c>
      <c r="E106" s="17" t="n">
        <f aca="false">C106-B106</f>
        <v>23.045</v>
      </c>
    </row>
    <row r="108" customFormat="false" ht="15" hidden="false" customHeight="false" outlineLevel="0" collapsed="false">
      <c r="A108" s="19"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16"/>
  </cols>
  <sheetData>
    <row r="1" customFormat="false" ht="42" hidden="false" customHeight="true" outlineLevel="0" collapsed="false">
      <c r="A1" s="14" t="s">
        <v>99</v>
      </c>
      <c r="B1" s="14" t="s">
        <v>94</v>
      </c>
      <c r="C1" s="14" t="s">
        <v>95</v>
      </c>
      <c r="D1" s="14" t="s">
        <v>100</v>
      </c>
      <c r="E1" s="14" t="s">
        <v>101</v>
      </c>
      <c r="F1" s="14" t="s">
        <v>102</v>
      </c>
      <c r="G1" s="14" t="s">
        <v>103</v>
      </c>
    </row>
    <row r="2" customFormat="false" ht="15" hidden="false" customHeight="false" outlineLevel="0" collapsed="false">
      <c r="A2" s="10" t="s">
        <v>104</v>
      </c>
      <c r="B2" s="21" t="n">
        <f aca="false">AVERAGEIFS(Weekly_Data!$B$2:$B$458,Weekly_Data!$A$2:$A$458,"&gt;="&amp;DATE(2018,1,1),Weekly_Data!$A$2:$A$458,"&lt;"&amp;DATE(2019,1,1))</f>
        <v>125.032641509434</v>
      </c>
      <c r="C2" s="21" t="n">
        <f aca="false">AVERAGEIFS(Weekly_Data!$C$2:$C$458,Weekly_Data!$A$2:$A$458,"&gt;="&amp;DATE(2018,1,1),Weekly_Data!$A$2:$A$458,"&lt;"&amp;DATE(2019,1,1))</f>
        <v>130.035471698113</v>
      </c>
      <c r="F2" s="17" t="n">
        <f aca="false">C2-B2</f>
        <v>5.00283018867926</v>
      </c>
      <c r="G2" s="12" t="n">
        <f aca="false">COUNTIFS(Weekly_Data!$A$2:$A$458,"&gt;="&amp;DATE(2018,1,1),Weekly_Data!$A$2:$A$458,"&lt;"&amp;DATE(2019,1,1))</f>
        <v>53</v>
      </c>
    </row>
    <row r="3" customFormat="false" ht="15" hidden="false" customHeight="false" outlineLevel="0" collapsed="false">
      <c r="A3" s="10" t="s">
        <v>105</v>
      </c>
      <c r="B3" s="21" t="n">
        <f aca="false">AVERAGEIFS(Weekly_Data!$B$2:$B$458,Weekly_Data!$A$2:$A$458,"&gt;="&amp;DATE(2019,1,1),Weekly_Data!$A$2:$A$458,"&lt;"&amp;DATE(2020,1,1))</f>
        <v>124.970576923077</v>
      </c>
      <c r="C3" s="21" t="n">
        <f aca="false">AVERAGEIFS(Weekly_Data!$C$2:$C$458,Weekly_Data!$A$2:$A$458,"&gt;="&amp;DATE(2019,1,1),Weekly_Data!$A$2:$A$458,"&lt;"&amp;DATE(2020,1,1))</f>
        <v>131.706923076923</v>
      </c>
      <c r="D3" s="22" t="n">
        <f aca="false">B3/B2-1</f>
        <v>-0.000496387068270821</v>
      </c>
      <c r="E3" s="22" t="n">
        <f aca="false">C3/C2-1</f>
        <v>0.0128538110177374</v>
      </c>
      <c r="F3" s="17" t="n">
        <f aca="false">C3-B3</f>
        <v>6.73634615384616</v>
      </c>
      <c r="G3" s="12" t="n">
        <f aca="false">COUNTIFS(Weekly_Data!$A$2:$A$458,"&gt;="&amp;DATE(2019,1,1),Weekly_Data!$A$2:$A$458,"&lt;"&amp;DATE(2020,1,1))</f>
        <v>52</v>
      </c>
    </row>
    <row r="4" customFormat="false" ht="15" hidden="false" customHeight="false" outlineLevel="0" collapsed="false">
      <c r="A4" s="10" t="s">
        <v>106</v>
      </c>
      <c r="B4" s="21" t="n">
        <f aca="false">AVERAGEIFS(Weekly_Data!$B$2:$B$458,Weekly_Data!$A$2:$A$458,"&gt;="&amp;DATE(2020,1,1),Weekly_Data!$A$2:$A$458,"&lt;"&amp;DATE(2021,1,1))</f>
        <v>114.092692307692</v>
      </c>
      <c r="C4" s="21" t="n">
        <f aca="false">AVERAGEIFS(Weekly_Data!$C$2:$C$458,Weekly_Data!$A$2:$A$458,"&gt;="&amp;DATE(2020,1,1),Weekly_Data!$A$2:$A$458,"&lt;"&amp;DATE(2021,1,1))</f>
        <v>119.455576923077</v>
      </c>
      <c r="D4" s="22" t="n">
        <f aca="false">B4/B3-1</f>
        <v>-0.0870435656392967</v>
      </c>
      <c r="E4" s="22" t="n">
        <f aca="false">C4/C3-1</f>
        <v>-0.0930197583212145</v>
      </c>
      <c r="F4" s="17" t="n">
        <f aca="false">C4-B4</f>
        <v>5.36288461538462</v>
      </c>
      <c r="G4" s="12" t="n">
        <f aca="false">COUNTIFS(Weekly_Data!$A$2:$A$458,"&gt;="&amp;DATE(2020,1,1),Weekly_Data!$A$2:$A$458,"&lt;"&amp;DATE(2021,1,1))</f>
        <v>52</v>
      </c>
    </row>
    <row r="5" customFormat="false" ht="15" hidden="false" customHeight="false" outlineLevel="0" collapsed="false">
      <c r="A5" s="10" t="s">
        <v>107</v>
      </c>
      <c r="B5" s="21" t="n">
        <f aca="false">AVERAGEIFS(Weekly_Data!$B$2:$B$458,Weekly_Data!$A$2:$A$458,"&gt;="&amp;DATE(2021,1,1),Weekly_Data!$A$2:$A$458,"&lt;"&amp;DATE(2022,1,1))</f>
        <v>131.397884615385</v>
      </c>
      <c r="C5" s="21" t="n">
        <f aca="false">AVERAGEIFS(Weekly_Data!$C$2:$C$458,Weekly_Data!$A$2:$A$458,"&gt;="&amp;DATE(2021,1,1),Weekly_Data!$A$2:$A$458,"&lt;"&amp;DATE(2022,1,1))</f>
        <v>135.037884615385</v>
      </c>
      <c r="D5" s="22" t="n">
        <f aca="false">B5/B4-1</f>
        <v>0.15167660572881</v>
      </c>
      <c r="E5" s="22" t="n">
        <f aca="false">C5/C4-1</f>
        <v>0.130444371821517</v>
      </c>
      <c r="F5" s="17" t="n">
        <f aca="false">C5-B5</f>
        <v>3.64000000000002</v>
      </c>
      <c r="G5" s="12" t="n">
        <f aca="false">COUNTIFS(Weekly_Data!$A$2:$A$458,"&gt;="&amp;DATE(2021,1,1),Weekly_Data!$A$2:$A$458,"&lt;"&amp;DATE(2022,1,1))</f>
        <v>52</v>
      </c>
    </row>
    <row r="6" customFormat="false" ht="15" hidden="false" customHeight="false" outlineLevel="0" collapsed="false">
      <c r="A6" s="10" t="s">
        <v>108</v>
      </c>
      <c r="B6" s="21" t="n">
        <f aca="false">AVERAGEIFS(Weekly_Data!$B$2:$B$458,Weekly_Data!$A$2:$A$458,"&gt;="&amp;DATE(2022,1,1),Weekly_Data!$A$2:$A$458,"&lt;"&amp;DATE(2023,1,1))</f>
        <v>164.6425</v>
      </c>
      <c r="C6" s="21" t="n">
        <f aca="false">AVERAGEIFS(Weekly_Data!$C$2:$C$458,Weekly_Data!$A$2:$A$458,"&gt;="&amp;DATE(2022,1,1),Weekly_Data!$A$2:$A$458,"&lt;"&amp;DATE(2023,1,1))</f>
        <v>177.778076923077</v>
      </c>
      <c r="D6" s="22" t="n">
        <f aca="false">B6/B5-1</f>
        <v>0.253007234339623</v>
      </c>
      <c r="E6" s="22" t="n">
        <f aca="false">C6/C5-1</f>
        <v>0.316505197259458</v>
      </c>
      <c r="F6" s="17" t="n">
        <f aca="false">C6-B6</f>
        <v>13.1355769230769</v>
      </c>
      <c r="G6" s="12" t="n">
        <f aca="false">COUNTIFS(Weekly_Data!$A$2:$A$458,"&gt;="&amp;DATE(2022,1,1),Weekly_Data!$A$2:$A$458,"&lt;"&amp;DATE(2023,1,1))</f>
        <v>52</v>
      </c>
    </row>
    <row r="7" customFormat="false" ht="15" hidden="false" customHeight="false" outlineLevel="0" collapsed="false">
      <c r="A7" s="10" t="s">
        <v>109</v>
      </c>
      <c r="B7" s="21" t="n">
        <f aca="false">AVERAGEIFS(Weekly_Data!$B$2:$B$458,Weekly_Data!$A$2:$A$458,"&gt;="&amp;DATE(2023,1,1),Weekly_Data!$A$2:$A$458,"&lt;"&amp;DATE(2024,1,1))</f>
        <v>147.650192307692</v>
      </c>
      <c r="C7" s="21" t="n">
        <f aca="false">AVERAGEIFS(Weekly_Data!$C$2:$C$458,Weekly_Data!$A$2:$A$458,"&gt;="&amp;DATE(2023,1,1),Weekly_Data!$A$2:$A$458,"&lt;"&amp;DATE(2024,1,1))</f>
        <v>158.124230769231</v>
      </c>
      <c r="D7" s="22" t="n">
        <f aca="false">B7/B6-1</f>
        <v>-0.103207298797745</v>
      </c>
      <c r="E7" s="22" t="n">
        <f aca="false">C7/C6-1</f>
        <v>-0.110552698589209</v>
      </c>
      <c r="F7" s="17" t="n">
        <f aca="false">C7-B7</f>
        <v>10.4740384615384</v>
      </c>
      <c r="G7" s="12" t="n">
        <f aca="false">COUNTIFS(Weekly_Data!$A$2:$A$458,"&gt;="&amp;DATE(2023,1,1),Weekly_Data!$A$2:$A$458,"&lt;"&amp;DATE(2024,1,1))</f>
        <v>52</v>
      </c>
    </row>
    <row r="8" customFormat="false" ht="15" hidden="false" customHeight="false" outlineLevel="0" collapsed="false">
      <c r="A8" s="10" t="s">
        <v>110</v>
      </c>
      <c r="B8" s="21" t="n">
        <f aca="false">AVERAGEIFS(Weekly_Data!$B$2:$B$458,Weekly_Data!$A$2:$A$458,"&gt;="&amp;DATE(2024,1,1),Weekly_Data!$A$2:$A$458,"&lt;"&amp;DATE(2025,1,1))</f>
        <v>141.467735849057</v>
      </c>
      <c r="C8" s="21" t="n">
        <f aca="false">AVERAGEIFS(Weekly_Data!$C$2:$C$458,Weekly_Data!$A$2:$A$458,"&gt;="&amp;DATE(2024,1,1),Weekly_Data!$A$2:$A$458,"&lt;"&amp;DATE(2025,1,1))</f>
        <v>148.363773584906</v>
      </c>
      <c r="D8" s="22" t="n">
        <f aca="false">B8/B7-1</f>
        <v>-0.0418723224264547</v>
      </c>
      <c r="E8" s="22" t="n">
        <f aca="false">C8/C7-1</f>
        <v>-0.0617265117233657</v>
      </c>
      <c r="F8" s="17" t="n">
        <f aca="false">C8-B8</f>
        <v>6.89603773584906</v>
      </c>
      <c r="G8" s="12" t="n">
        <f aca="false">COUNTIFS(Weekly_Data!$A$2:$A$458,"&gt;="&amp;DATE(2024,1,1),Weekly_Data!$A$2:$A$458,"&lt;"&amp;DATE(2025,1,1))</f>
        <v>53</v>
      </c>
    </row>
    <row r="9" customFormat="false" ht="15" hidden="false" customHeight="false" outlineLevel="0" collapsed="false">
      <c r="A9" s="10" t="s">
        <v>111</v>
      </c>
      <c r="B9" s="21" t="n">
        <f aca="false">AVERAGEIFS(Weekly_Data!$B$2:$B$458,Weekly_Data!$A$2:$A$458,"&gt;="&amp;DATE(2025,1,1),Weekly_Data!$A$2:$A$458,"&lt;"&amp;DATE(2026,1,1))</f>
        <v>135.049615384615</v>
      </c>
      <c r="C9" s="21" t="n">
        <f aca="false">AVERAGEIFS(Weekly_Data!$C$2:$C$458,Weekly_Data!$A$2:$A$458,"&gt;="&amp;DATE(2025,1,1),Weekly_Data!$A$2:$A$458,"&lt;"&amp;DATE(2026,1,1))</f>
        <v>142.695576923077</v>
      </c>
      <c r="D9" s="22" t="n">
        <f aca="false">B9/B8-1</f>
        <v>-0.0453680864115139</v>
      </c>
      <c r="E9" s="22" t="n">
        <f aca="false">C9/C8-1</f>
        <v>-0.0382047215763554</v>
      </c>
      <c r="F9" s="17" t="n">
        <f aca="false">C9-B9</f>
        <v>7.64596153846154</v>
      </c>
      <c r="G9" s="12" t="n">
        <f aca="false">COUNTIFS(Weekly_Data!$A$2:$A$458,"&gt;="&amp;DATE(2025,1,1),Weekly_Data!$A$2:$A$458,"&lt;"&amp;DATE(2026,1,1))</f>
        <v>52</v>
      </c>
    </row>
    <row r="10" customFormat="false" ht="15" hidden="false" customHeight="false" outlineLevel="0" collapsed="false">
      <c r="A10" s="10" t="s">
        <v>112</v>
      </c>
      <c r="B10" s="21" t="n">
        <f aca="false">AVERAGEIFS(Weekly_Data!$B$2:$B$458,Weekly_Data!$A$2:$A$458,"&gt;="&amp;DATE(2026,1,1),Weekly_Data!$A$2:$A$458,"&lt;"&amp;DATE(2027,1,1))</f>
        <v>150.97358974359</v>
      </c>
      <c r="C10" s="21" t="n">
        <f aca="false">AVERAGEIFS(Weekly_Data!$C$2:$C$458,Weekly_Data!$A$2:$A$458,"&gt;="&amp;DATE(2026,1,1),Weekly_Data!$A$2:$A$458,"&lt;"&amp;DATE(2027,1,1))</f>
        <v>170.996153846154</v>
      </c>
      <c r="D10" s="22" t="n">
        <f aca="false">B10/B9-1</f>
        <v>0.117912030431361</v>
      </c>
      <c r="E10" s="22" t="n">
        <f aca="false">C10/C9-1</f>
        <v>0.198328340186276</v>
      </c>
      <c r="F10" s="17" t="n">
        <f aca="false">C10-B10</f>
        <v>20.0225641025641</v>
      </c>
      <c r="G10" s="12" t="n">
        <f aca="false">COUNTIFS(Weekly_Data!$A$2:$A$458,"&gt;="&amp;DATE(2026,1,1),Weekly_Data!$A$2:$A$458,"&lt;"&amp;DATE(2027,1,1))</f>
        <v>39</v>
      </c>
    </row>
    <row r="12" customFormat="false" ht="15" hidden="false" customHeight="false" outlineLevel="0" collapsed="false">
      <c r="A12" s="19"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5"/>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1" ySplit="1" topLeftCell="B117" activePane="bottomRight" state="frozen"/>
      <selection pane="topLeft" activeCell="A1" activeCellId="0" sqref="A1"/>
      <selection pane="topRight" activeCell="B1" activeCellId="0" sqref="B1"/>
      <selection pane="bottomLeft" activeCell="A117" activeCellId="0" sqref="A117"/>
      <selection pane="bottomRight" activeCell="B2" activeCellId="0" sqref="B2"/>
    </sheetView>
  </sheetViews>
  <sheetFormatPr defaultColWidth="8.66796875" defaultRowHeight="15" zeroHeight="false" outlineLevelRow="0" outlineLevelCol="0"/>
  <cols>
    <col collapsed="false" customWidth="true" hidden="false" outlineLevel="0" max="1" min="1" style="0" width="12"/>
    <col collapsed="false" customWidth="true" hidden="false" outlineLevel="0" max="11" min="2" style="0" width="15"/>
    <col collapsed="false" customWidth="true" hidden="false" outlineLevel="0" max="13" min="13" style="0" width="70"/>
  </cols>
  <sheetData>
    <row r="1" customFormat="false" ht="42" hidden="false" customHeight="true" outlineLevel="0" collapsed="false">
      <c r="A1" s="14" t="s">
        <v>93</v>
      </c>
      <c r="B1" s="14" t="s">
        <v>114</v>
      </c>
      <c r="C1" s="14" t="s">
        <v>115</v>
      </c>
      <c r="D1" s="14" t="s">
        <v>116</v>
      </c>
      <c r="E1" s="14" t="s">
        <v>117</v>
      </c>
      <c r="F1" s="14" t="s">
        <v>118</v>
      </c>
      <c r="G1" s="14" t="s">
        <v>119</v>
      </c>
      <c r="H1" s="14" t="s">
        <v>120</v>
      </c>
      <c r="I1" s="14" t="s">
        <v>121</v>
      </c>
      <c r="J1" s="14" t="s">
        <v>122</v>
      </c>
      <c r="K1" s="14" t="s">
        <v>123</v>
      </c>
      <c r="M1" s="23" t="s">
        <v>124</v>
      </c>
    </row>
    <row r="2" customFormat="false" ht="15" hidden="false" customHeight="false" outlineLevel="0" collapsed="false">
      <c r="A2" s="20" t="n">
        <v>46296</v>
      </c>
      <c r="B2" s="0" t="n">
        <v>171.035489079739</v>
      </c>
      <c r="C2" s="0" t="n">
        <v>166.218753808394</v>
      </c>
      <c r="D2" s="0" t="n">
        <v>175.852224351084</v>
      </c>
      <c r="E2" s="0" t="n">
        <v>163.668928179095</v>
      </c>
      <c r="F2" s="0" t="n">
        <v>178.402049980384</v>
      </c>
      <c r="G2" s="0" t="n">
        <v>189.26489569754</v>
      </c>
      <c r="H2" s="0" t="n">
        <v>183.22298548817</v>
      </c>
      <c r="I2" s="0" t="n">
        <v>195.306805906911</v>
      </c>
      <c r="J2" s="0" t="n">
        <v>180.024591423744</v>
      </c>
      <c r="K2" s="0" t="n">
        <v>198.505199971336</v>
      </c>
      <c r="M2" s="11" t="str">
        <f aca="false">IF(COUNT(G2:G121)&lt;120,"CHECK: diesel columns are not full (120 rows needed)",IF(MAX(G2:G121)=MIN(G2:G121),"CHECK: diesel forecast is the same in every row - re-paste diesel_forecast.csv","OK: diesel forecast varies by month"))</f>
        <v>OK: diesel forecast varies by month</v>
      </c>
    </row>
    <row r="3" customFormat="false" ht="15" hidden="false" customHeight="false" outlineLevel="0" collapsed="false">
      <c r="A3" s="20" t="n">
        <v>46327</v>
      </c>
      <c r="B3" s="0" t="n">
        <v>168.821692854718</v>
      </c>
      <c r="C3" s="0" t="n">
        <v>159.472215689</v>
      </c>
      <c r="D3" s="0" t="n">
        <v>178.171170020435</v>
      </c>
      <c r="E3" s="0" t="n">
        <v>154.522901442998</v>
      </c>
      <c r="F3" s="0" t="n">
        <v>183.120484266437</v>
      </c>
      <c r="G3" s="0" t="n">
        <v>183.30851333802</v>
      </c>
      <c r="H3" s="0" t="n">
        <v>172.032129569743</v>
      </c>
      <c r="I3" s="0" t="n">
        <v>194.584897106297</v>
      </c>
      <c r="J3" s="0" t="n">
        <v>166.062772584481</v>
      </c>
      <c r="K3" s="0" t="n">
        <v>200.554254091559</v>
      </c>
    </row>
    <row r="4" customFormat="false" ht="15" hidden="false" customHeight="false" outlineLevel="0" collapsed="false">
      <c r="A4" s="20" t="n">
        <v>46357</v>
      </c>
      <c r="B4" s="0" t="n">
        <v>168.430504403642</v>
      </c>
      <c r="C4" s="0" t="n">
        <v>156.171917343099</v>
      </c>
      <c r="D4" s="0" t="n">
        <v>180.689091464186</v>
      </c>
      <c r="E4" s="0" t="n">
        <v>149.682613342541</v>
      </c>
      <c r="F4" s="0" t="n">
        <v>187.178395464743</v>
      </c>
      <c r="G4" s="0" t="n">
        <v>184.34604858543</v>
      </c>
      <c r="H4" s="0" t="n">
        <v>169.990720674015</v>
      </c>
      <c r="I4" s="0" t="n">
        <v>198.701376496845</v>
      </c>
      <c r="J4" s="0" t="n">
        <v>162.391469113881</v>
      </c>
      <c r="K4" s="0" t="n">
        <v>206.300628056978</v>
      </c>
    </row>
    <row r="5" customFormat="false" ht="15" hidden="false" customHeight="false" outlineLevel="0" collapsed="false">
      <c r="A5" s="20" t="n">
        <v>46388</v>
      </c>
      <c r="B5" s="0" t="n">
        <v>169.34647914869</v>
      </c>
      <c r="C5" s="0" t="n">
        <v>155.391040940337</v>
      </c>
      <c r="D5" s="0" t="n">
        <v>183.301917357043</v>
      </c>
      <c r="E5" s="0" t="n">
        <v>148.003478201847</v>
      </c>
      <c r="F5" s="0" t="n">
        <v>190.689480095532</v>
      </c>
      <c r="G5" s="0" t="n">
        <v>188.86697275797</v>
      </c>
      <c r="H5" s="0" t="n">
        <v>173.06667767852</v>
      </c>
      <c r="I5" s="0" t="n">
        <v>204.667267837419</v>
      </c>
      <c r="J5" s="0" t="n">
        <v>164.702506704927</v>
      </c>
      <c r="K5" s="0" t="n">
        <v>213.031438811012</v>
      </c>
    </row>
    <row r="6" customFormat="false" ht="15" hidden="false" customHeight="false" outlineLevel="0" collapsed="false">
      <c r="A6" s="20" t="n">
        <v>46419</v>
      </c>
      <c r="B6" s="0" t="n">
        <v>169.411955780673</v>
      </c>
      <c r="C6" s="0" t="n">
        <v>153.8764616635</v>
      </c>
      <c r="D6" s="0" t="n">
        <v>184.947449897845</v>
      </c>
      <c r="E6" s="0" t="n">
        <v>145.652467851873</v>
      </c>
      <c r="F6" s="0" t="n">
        <v>193.171443709473</v>
      </c>
      <c r="G6" s="0" t="n">
        <v>188.413021291158</v>
      </c>
      <c r="H6" s="0" t="n">
        <v>171.21111960838</v>
      </c>
      <c r="I6" s="0" t="n">
        <v>205.614922973937</v>
      </c>
      <c r="J6" s="0" t="n">
        <v>162.104982917753</v>
      </c>
      <c r="K6" s="0" t="n">
        <v>214.721059664563</v>
      </c>
    </row>
    <row r="7" customFormat="false" ht="15" hidden="false" customHeight="false" outlineLevel="0" collapsed="false">
      <c r="A7" s="20" t="n">
        <v>46447</v>
      </c>
      <c r="B7" s="0" t="n">
        <v>169.042394089275</v>
      </c>
      <c r="C7" s="0" t="n">
        <v>151.872993850919</v>
      </c>
      <c r="D7" s="0" t="n">
        <v>186.211794327632</v>
      </c>
      <c r="E7" s="0" t="n">
        <v>142.78406238568</v>
      </c>
      <c r="F7" s="0" t="n">
        <v>195.300725792871</v>
      </c>
      <c r="G7" s="0" t="n">
        <v>181.720354017013</v>
      </c>
      <c r="H7" s="0" t="n">
        <v>162.629922236551</v>
      </c>
      <c r="I7" s="0" t="n">
        <v>200.810785797475</v>
      </c>
      <c r="J7" s="0" t="n">
        <v>152.524058101191</v>
      </c>
      <c r="K7" s="0" t="n">
        <v>210.916649932835</v>
      </c>
    </row>
    <row r="8" customFormat="false" ht="15" hidden="false" customHeight="false" outlineLevel="0" collapsed="false">
      <c r="A8" s="20" t="n">
        <v>46478</v>
      </c>
      <c r="B8" s="0" t="n">
        <v>169.052591939807</v>
      </c>
      <c r="C8" s="0" t="n">
        <v>150.434425343499</v>
      </c>
      <c r="D8" s="0" t="n">
        <v>187.670758536116</v>
      </c>
      <c r="E8" s="0" t="n">
        <v>140.578563295143</v>
      </c>
      <c r="F8" s="0" t="n">
        <v>197.526620584472</v>
      </c>
      <c r="G8" s="0" t="n">
        <v>174.39023374357</v>
      </c>
      <c r="H8" s="0" t="n">
        <v>153.579438624263</v>
      </c>
      <c r="I8" s="0" t="n">
        <v>195.201028862877</v>
      </c>
      <c r="J8" s="0" t="n">
        <v>142.56286914888</v>
      </c>
      <c r="K8" s="0" t="n">
        <v>206.21759833826</v>
      </c>
    </row>
    <row r="9" customFormat="false" ht="15" hidden="false" customHeight="false" outlineLevel="0" collapsed="false">
      <c r="A9" s="20" t="n">
        <v>46508</v>
      </c>
      <c r="B9" s="0" t="n">
        <v>169.198113943156</v>
      </c>
      <c r="C9" s="0" t="n">
        <v>149.300661274172</v>
      </c>
      <c r="D9" s="0" t="n">
        <v>189.095566612141</v>
      </c>
      <c r="E9" s="0" t="n">
        <v>138.767586086302</v>
      </c>
      <c r="F9" s="0" t="n">
        <v>199.62864180001</v>
      </c>
      <c r="G9" s="0" t="n">
        <v>176.861745768684</v>
      </c>
      <c r="H9" s="0" t="n">
        <v>154.794142215446</v>
      </c>
      <c r="I9" s="0" t="n">
        <v>198.929349321922</v>
      </c>
      <c r="J9" s="0" t="n">
        <v>143.11225854374</v>
      </c>
      <c r="K9" s="0" t="n">
        <v>210.611232993627</v>
      </c>
    </row>
    <row r="10" customFormat="false" ht="15" hidden="false" customHeight="false" outlineLevel="0" collapsed="false">
      <c r="A10" s="20" t="n">
        <v>46539</v>
      </c>
      <c r="B10" s="0" t="n">
        <v>169.179833180142</v>
      </c>
      <c r="C10" s="0" t="n">
        <v>148.060101065392</v>
      </c>
      <c r="D10" s="0" t="n">
        <v>190.299565294893</v>
      </c>
      <c r="E10" s="0" t="n">
        <v>136.87999022341</v>
      </c>
      <c r="F10" s="0" t="n">
        <v>201.479676136875</v>
      </c>
      <c r="G10" s="0" t="n">
        <v>179.636139559093</v>
      </c>
      <c r="H10" s="0" t="n">
        <v>156.407770499168</v>
      </c>
      <c r="I10" s="0" t="n">
        <v>202.864508619017</v>
      </c>
      <c r="J10" s="0" t="n">
        <v>144.111414685685</v>
      </c>
      <c r="K10" s="0" t="n">
        <v>215.1608644325</v>
      </c>
    </row>
    <row r="11" customFormat="false" ht="15" hidden="false" customHeight="false" outlineLevel="0" collapsed="false">
      <c r="A11" s="20" t="n">
        <v>46569</v>
      </c>
      <c r="B11" s="0" t="n">
        <v>169.123926780529</v>
      </c>
      <c r="C11" s="0" t="n">
        <v>146.827873487202</v>
      </c>
      <c r="D11" s="0" t="n">
        <v>191.419980073856</v>
      </c>
      <c r="E11" s="0" t="n">
        <v>135.025055828165</v>
      </c>
      <c r="F11" s="0" t="n">
        <v>203.222797732893</v>
      </c>
      <c r="G11" s="0" t="n">
        <v>180.631981932527</v>
      </c>
      <c r="H11" s="0" t="n">
        <v>156.114095547153</v>
      </c>
      <c r="I11" s="0" t="n">
        <v>205.149868317902</v>
      </c>
      <c r="J11" s="0" t="n">
        <v>143.135110496099</v>
      </c>
      <c r="K11" s="0" t="n">
        <v>218.128853368956</v>
      </c>
    </row>
    <row r="12" customFormat="false" ht="15" hidden="false" customHeight="false" outlineLevel="0" collapsed="false">
      <c r="A12" s="20" t="n">
        <v>46600</v>
      </c>
      <c r="B12" s="0" t="n">
        <v>169.136644325367</v>
      </c>
      <c r="C12" s="0" t="n">
        <v>145.732640782161</v>
      </c>
      <c r="D12" s="0" t="n">
        <v>192.540647868574</v>
      </c>
      <c r="E12" s="0" t="n">
        <v>133.343309689442</v>
      </c>
      <c r="F12" s="0" t="n">
        <v>204.929978961293</v>
      </c>
      <c r="G12" s="0" t="n">
        <v>176.977504109048</v>
      </c>
      <c r="H12" s="0" t="n">
        <v>151.200370233338</v>
      </c>
      <c r="I12" s="0" t="n">
        <v>202.754637984757</v>
      </c>
      <c r="J12" s="0" t="n">
        <v>137.554779827494</v>
      </c>
      <c r="K12" s="0" t="n">
        <v>216.400228390602</v>
      </c>
    </row>
    <row r="13" customFormat="false" ht="15" hidden="false" customHeight="false" outlineLevel="0" collapsed="false">
      <c r="A13" s="20" t="n">
        <v>46631</v>
      </c>
      <c r="B13" s="0" t="n">
        <v>169.157565214676</v>
      </c>
      <c r="C13" s="0" t="n">
        <v>144.702450611452</v>
      </c>
      <c r="D13" s="0" t="n">
        <v>193.6126798179</v>
      </c>
      <c r="E13" s="0" t="n">
        <v>131.756694934634</v>
      </c>
      <c r="F13" s="0" t="n">
        <v>206.558435494718</v>
      </c>
      <c r="G13" s="0" t="n">
        <v>175.12008521469</v>
      </c>
      <c r="H13" s="0" t="n">
        <v>148.249424704057</v>
      </c>
      <c r="I13" s="0" t="n">
        <v>201.990745725324</v>
      </c>
      <c r="J13" s="0" t="n">
        <v>134.02495626507</v>
      </c>
      <c r="K13" s="0" t="n">
        <v>216.215214164311</v>
      </c>
    </row>
    <row r="14" customFormat="false" ht="15" hidden="false" customHeight="false" outlineLevel="0" collapsed="false">
      <c r="A14" s="20" t="n">
        <v>46661</v>
      </c>
      <c r="B14" s="0" t="n">
        <v>169.150476237593</v>
      </c>
      <c r="C14" s="0" t="n">
        <v>143.683582692247</v>
      </c>
      <c r="D14" s="0" t="n">
        <v>194.617369782938</v>
      </c>
      <c r="E14" s="0" t="n">
        <v>130.202223596832</v>
      </c>
      <c r="F14" s="0" t="n">
        <v>208.098728878353</v>
      </c>
      <c r="G14" s="0" t="n">
        <v>176.016285784397</v>
      </c>
      <c r="H14" s="0" t="n">
        <v>148.48250982194</v>
      </c>
      <c r="I14" s="0" t="n">
        <v>203.550061746854</v>
      </c>
      <c r="J14" s="0" t="n">
        <v>133.907009267008</v>
      </c>
      <c r="K14" s="0" t="n">
        <v>218.125562301786</v>
      </c>
    </row>
    <row r="15" customFormat="false" ht="15" hidden="false" customHeight="false" outlineLevel="0" collapsed="false">
      <c r="A15" s="20" t="n">
        <v>46692</v>
      </c>
      <c r="B15" s="0" t="n">
        <v>169.142875327872</v>
      </c>
      <c r="C15" s="0" t="n">
        <v>142.700809271898</v>
      </c>
      <c r="D15" s="0" t="n">
        <v>195.584941383846</v>
      </c>
      <c r="E15" s="0" t="n">
        <v>128.703225032166</v>
      </c>
      <c r="F15" s="0" t="n">
        <v>209.582525623578</v>
      </c>
      <c r="G15" s="0" t="n">
        <v>177.002303028779</v>
      </c>
      <c r="H15" s="0" t="n">
        <v>148.947114074147</v>
      </c>
      <c r="I15" s="0" t="n">
        <v>205.05749198341</v>
      </c>
      <c r="J15" s="0" t="n">
        <v>134.095594154231</v>
      </c>
      <c r="K15" s="0" t="n">
        <v>219.909011903327</v>
      </c>
    </row>
    <row r="16" customFormat="false" ht="15" hidden="false" customHeight="false" outlineLevel="0" collapsed="false">
      <c r="A16" s="20" t="n">
        <v>46722</v>
      </c>
      <c r="B16" s="0" t="n">
        <v>169.146429547747</v>
      </c>
      <c r="C16" s="0" t="n">
        <v>141.765579609152</v>
      </c>
      <c r="D16" s="0" t="n">
        <v>196.527279486342</v>
      </c>
      <c r="E16" s="0" t="n">
        <v>127.271033201181</v>
      </c>
      <c r="F16" s="0" t="n">
        <v>211.021825894312</v>
      </c>
      <c r="G16" s="0" t="n">
        <v>176.518911892954</v>
      </c>
      <c r="H16" s="0" t="n">
        <v>147.904912639016</v>
      </c>
      <c r="I16" s="0" t="n">
        <v>205.132911146893</v>
      </c>
      <c r="J16" s="0" t="n">
        <v>132.757576415562</v>
      </c>
      <c r="K16" s="0" t="n">
        <v>220.280247370347</v>
      </c>
    </row>
    <row r="17" customFormat="false" ht="15" hidden="false" customHeight="false" outlineLevel="0" collapsed="false">
      <c r="A17" s="20" t="n">
        <v>46753</v>
      </c>
      <c r="B17" s="0" t="n">
        <v>169.149095333632</v>
      </c>
      <c r="C17" s="0" t="n">
        <v>140.861211248959</v>
      </c>
      <c r="D17" s="0" t="n">
        <v>197.436979418305</v>
      </c>
      <c r="E17" s="0" t="n">
        <v>125.886509968024</v>
      </c>
      <c r="F17" s="0" t="n">
        <v>212.411680699241</v>
      </c>
      <c r="G17" s="0" t="n">
        <v>175.84451278296</v>
      </c>
      <c r="H17" s="0" t="n">
        <v>146.598408848656</v>
      </c>
      <c r="I17" s="0" t="n">
        <v>205.090616717263</v>
      </c>
      <c r="J17" s="0" t="n">
        <v>131.116456620045</v>
      </c>
      <c r="K17" s="0" t="n">
        <v>220.572568945874</v>
      </c>
    </row>
    <row r="18" customFormat="false" ht="15" hidden="false" customHeight="false" outlineLevel="0" collapsed="false">
      <c r="A18" s="20" t="n">
        <v>46784</v>
      </c>
      <c r="B18" s="0" t="n">
        <v>169.147425379655</v>
      </c>
      <c r="C18" s="0" t="n">
        <v>139.980016979836</v>
      </c>
      <c r="D18" s="0" t="n">
        <v>198.314833779475</v>
      </c>
      <c r="E18" s="0" t="n">
        <v>124.539723650756</v>
      </c>
      <c r="F18" s="0" t="n">
        <v>213.755127108555</v>
      </c>
      <c r="G18" s="0" t="n">
        <v>176.092283508123</v>
      </c>
      <c r="H18" s="0" t="n">
        <v>146.251035679797</v>
      </c>
      <c r="I18" s="0" t="n">
        <v>205.933531336449</v>
      </c>
      <c r="J18" s="0" t="n">
        <v>130.454033304435</v>
      </c>
      <c r="K18" s="0" t="n">
        <v>221.730533711812</v>
      </c>
    </row>
    <row r="19" customFormat="false" ht="15" hidden="false" customHeight="false" outlineLevel="0" collapsed="false">
      <c r="A19" s="20" t="n">
        <v>46813</v>
      </c>
      <c r="B19" s="0" t="n">
        <v>169.146531863794</v>
      </c>
      <c r="C19" s="0" t="n">
        <v>139.125191534699</v>
      </c>
      <c r="D19" s="0" t="n">
        <v>199.167872192889</v>
      </c>
      <c r="E19" s="0" t="n">
        <v>123.232853948196</v>
      </c>
      <c r="F19" s="0" t="n">
        <v>215.060209779393</v>
      </c>
      <c r="G19" s="0" t="n">
        <v>176.546015685333</v>
      </c>
      <c r="H19" s="0" t="n">
        <v>146.1744824189</v>
      </c>
      <c r="I19" s="0" t="n">
        <v>206.917548951766</v>
      </c>
      <c r="J19" s="0" t="n">
        <v>130.096763889388</v>
      </c>
      <c r="K19" s="0" t="n">
        <v>222.995267481278</v>
      </c>
    </row>
    <row r="20" customFormat="false" ht="15" hidden="false" customHeight="false" outlineLevel="0" collapsed="false">
      <c r="A20" s="20" t="n">
        <v>46844</v>
      </c>
      <c r="B20" s="0" t="n">
        <v>169.147281368843</v>
      </c>
      <c r="C20" s="0" t="n">
        <v>138.295907669977</v>
      </c>
      <c r="D20" s="0" t="n">
        <v>199.99865506771</v>
      </c>
      <c r="E20" s="0" t="n">
        <v>121.964176959253</v>
      </c>
      <c r="F20" s="0" t="n">
        <v>216.330385778433</v>
      </c>
      <c r="G20" s="0" t="n">
        <v>176.428839526422</v>
      </c>
      <c r="H20" s="0" t="n">
        <v>145.526979226678</v>
      </c>
      <c r="I20" s="0" t="n">
        <v>207.330699826166</v>
      </c>
      <c r="J20" s="0" t="n">
        <v>129.168522523845</v>
      </c>
      <c r="K20" s="0" t="n">
        <v>223.689156528999</v>
      </c>
    </row>
    <row r="21" customFormat="false" ht="15" hidden="false" customHeight="false" outlineLevel="0" collapsed="false">
      <c r="A21" s="20" t="n">
        <v>46874</v>
      </c>
      <c r="B21" s="0" t="n">
        <v>169.147562289827</v>
      </c>
      <c r="C21" s="0" t="n">
        <v>137.487944707448</v>
      </c>
      <c r="D21" s="0" t="n">
        <v>200.807179872205</v>
      </c>
      <c r="E21" s="0" t="n">
        <v>120.728355529774</v>
      </c>
      <c r="F21" s="0" t="n">
        <v>217.566769049879</v>
      </c>
      <c r="G21" s="0" t="n">
        <v>176.128072862075</v>
      </c>
      <c r="H21" s="0" t="n">
        <v>144.671091278627</v>
      </c>
      <c r="I21" s="0" t="n">
        <v>207.585054445523</v>
      </c>
      <c r="J21" s="0" t="n">
        <v>128.018771119154</v>
      </c>
      <c r="K21" s="0" t="n">
        <v>224.237374604996</v>
      </c>
    </row>
    <row r="22" customFormat="false" ht="15" hidden="false" customHeight="false" outlineLevel="0" collapsed="false">
      <c r="A22" s="20" t="n">
        <v>46905</v>
      </c>
      <c r="B22" s="0" t="n">
        <v>169.147237649486</v>
      </c>
      <c r="C22" s="0" t="n">
        <v>136.699396668008</v>
      </c>
      <c r="D22" s="0" t="n">
        <v>201.595078630964</v>
      </c>
      <c r="E22" s="0" t="n">
        <v>119.522547227643</v>
      </c>
      <c r="F22" s="0" t="n">
        <v>218.771928071329</v>
      </c>
      <c r="G22" s="0" t="n">
        <v>176.175653021743</v>
      </c>
      <c r="H22" s="0" t="n">
        <v>144.175964114342</v>
      </c>
      <c r="I22" s="0" t="n">
        <v>208.175341929144</v>
      </c>
      <c r="J22" s="0" t="n">
        <v>127.236352051564</v>
      </c>
      <c r="K22" s="0" t="n">
        <v>225.114953991922</v>
      </c>
    </row>
    <row r="23" customFormat="false" ht="15" hidden="false" customHeight="false" outlineLevel="0" collapsed="false">
      <c r="A23" s="20" t="n">
        <v>46935</v>
      </c>
      <c r="B23" s="0" t="n">
        <v>169.147158035305</v>
      </c>
      <c r="C23" s="0" t="n">
        <v>135.9297889951</v>
      </c>
      <c r="D23" s="0" t="n">
        <v>202.364527075511</v>
      </c>
      <c r="E23" s="0" t="n">
        <v>118.34557600742</v>
      </c>
      <c r="F23" s="0" t="n">
        <v>219.948740063191</v>
      </c>
      <c r="G23" s="0" t="n">
        <v>176.372287387242</v>
      </c>
      <c r="H23" s="0" t="n">
        <v>143.860108372065</v>
      </c>
      <c r="I23" s="0" t="n">
        <v>208.88446640242</v>
      </c>
      <c r="J23" s="0" t="n">
        <v>126.649200433977</v>
      </c>
      <c r="K23" s="0" t="n">
        <v>226.095374340507</v>
      </c>
    </row>
    <row r="24" customFormat="false" ht="15" hidden="false" customHeight="false" outlineLevel="0" collapsed="false">
      <c r="A24" s="20" t="n">
        <v>46966</v>
      </c>
      <c r="B24" s="0" t="n">
        <v>169.147294534447</v>
      </c>
      <c r="C24" s="0" t="n">
        <v>135.177865911816</v>
      </c>
      <c r="D24" s="0" t="n">
        <v>203.116723157078</v>
      </c>
      <c r="E24" s="0" t="n">
        <v>117.195536629592</v>
      </c>
      <c r="F24" s="0" t="n">
        <v>221.099052439302</v>
      </c>
      <c r="G24" s="0" t="n">
        <v>176.359740271152</v>
      </c>
      <c r="H24" s="0" t="n">
        <v>143.343211459697</v>
      </c>
      <c r="I24" s="0" t="n">
        <v>209.376269082607</v>
      </c>
      <c r="J24" s="0" t="n">
        <v>125.865316866908</v>
      </c>
      <c r="K24" s="0" t="n">
        <v>226.854163675396</v>
      </c>
    </row>
    <row r="25" customFormat="false" ht="15" hidden="false" customHeight="false" outlineLevel="0" collapsed="false">
      <c r="A25" s="20" t="n">
        <v>46997</v>
      </c>
      <c r="B25" s="0" t="n">
        <v>169.14731274415</v>
      </c>
      <c r="C25" s="0" t="n">
        <v>134.442115202977</v>
      </c>
      <c r="D25" s="0" t="n">
        <v>203.852510285323</v>
      </c>
      <c r="E25" s="0" t="n">
        <v>116.070293382746</v>
      </c>
      <c r="F25" s="0" t="n">
        <v>222.224332105553</v>
      </c>
      <c r="G25" s="0" t="n">
        <v>176.232872428341</v>
      </c>
      <c r="H25" s="0" t="n">
        <v>142.706520216395</v>
      </c>
      <c r="I25" s="0" t="n">
        <v>209.759224640286</v>
      </c>
      <c r="J25" s="0" t="n">
        <v>124.958741417862</v>
      </c>
      <c r="K25" s="0" t="n">
        <v>227.507003438819</v>
      </c>
    </row>
    <row r="26" customFormat="false" ht="15" hidden="false" customHeight="false" outlineLevel="0" collapsed="false">
      <c r="A26" s="20" t="n">
        <v>47027</v>
      </c>
      <c r="B26" s="0" t="n">
        <v>169.147256844868</v>
      </c>
      <c r="C26" s="0" t="n">
        <v>133.721553420984</v>
      </c>
      <c r="D26" s="0" t="n">
        <v>204.572960268752</v>
      </c>
      <c r="E26" s="0" t="n">
        <v>114.968318825856</v>
      </c>
      <c r="F26" s="0" t="n">
        <v>223.326194863881</v>
      </c>
      <c r="G26" s="0" t="n">
        <v>176.229361824873</v>
      </c>
      <c r="H26" s="0" t="n">
        <v>142.199528329339</v>
      </c>
      <c r="I26" s="0" t="n">
        <v>210.259195320407</v>
      </c>
      <c r="J26" s="0" t="n">
        <v>124.18522263895</v>
      </c>
      <c r="K26" s="0" t="n">
        <v>228.273501010796</v>
      </c>
    </row>
    <row r="27" customFormat="false" ht="15" hidden="false" customHeight="false" outlineLevel="0" collapsed="false">
      <c r="A27" s="20" t="n">
        <v>47058</v>
      </c>
      <c r="B27" s="0" t="n">
        <v>169.147255094379</v>
      </c>
      <c r="C27" s="0" t="n">
        <v>133.015412995837</v>
      </c>
      <c r="D27" s="0" t="n">
        <v>205.279097192921</v>
      </c>
      <c r="E27" s="0" t="n">
        <v>113.888371166337</v>
      </c>
      <c r="F27" s="0" t="n">
        <v>224.406139022422</v>
      </c>
      <c r="G27" s="0" t="n">
        <v>176.31016147431</v>
      </c>
      <c r="H27" s="0" t="n">
        <v>141.792212410797</v>
      </c>
      <c r="I27" s="0" t="n">
        <v>210.828110537824</v>
      </c>
      <c r="J27" s="0" t="n">
        <v>123.519513947049</v>
      </c>
      <c r="K27" s="0" t="n">
        <v>229.100809001571</v>
      </c>
    </row>
    <row r="28" customFormat="false" ht="15" hidden="false" customHeight="false" outlineLevel="0" collapsed="false">
      <c r="A28" s="20" t="n">
        <v>47088</v>
      </c>
      <c r="B28" s="0" t="n">
        <v>169.147277427975</v>
      </c>
      <c r="C28" s="0" t="n">
        <v>132.322840483005</v>
      </c>
      <c r="D28" s="0" t="n">
        <v>205.971714372945</v>
      </c>
      <c r="E28" s="0" t="n">
        <v>112.829161088711</v>
      </c>
      <c r="F28" s="0" t="n">
        <v>225.465393767239</v>
      </c>
      <c r="G28" s="0" t="n">
        <v>176.319751396314</v>
      </c>
      <c r="H28" s="0" t="n">
        <v>141.322008184913</v>
      </c>
      <c r="I28" s="0" t="n">
        <v>211.317494607715</v>
      </c>
      <c r="J28" s="0" t="n">
        <v>122.795322041512</v>
      </c>
      <c r="K28" s="0" t="n">
        <v>229.844180751116</v>
      </c>
    </row>
    <row r="29" customFormat="false" ht="15" hidden="false" customHeight="false" outlineLevel="0" collapsed="false">
      <c r="A29" s="20" t="n">
        <v>47119</v>
      </c>
      <c r="B29" s="0" t="n">
        <v>169.147275936908</v>
      </c>
      <c r="C29" s="0" t="n">
        <v>131.643030724169</v>
      </c>
      <c r="D29" s="0" t="n">
        <v>206.651521149646</v>
      </c>
      <c r="E29" s="0" t="n">
        <v>111.78948257095</v>
      </c>
      <c r="F29" s="0" t="n">
        <v>226.505069302865</v>
      </c>
      <c r="G29" s="0" t="n">
        <v>176.268960217071</v>
      </c>
      <c r="H29" s="0" t="n">
        <v>140.793070713476</v>
      </c>
      <c r="I29" s="0" t="n">
        <v>211.744849720666</v>
      </c>
      <c r="J29" s="0" t="n">
        <v>122.013269212533</v>
      </c>
      <c r="K29" s="0" t="n">
        <v>230.524651221609</v>
      </c>
    </row>
    <row r="30" customFormat="false" ht="15" hidden="false" customHeight="false" outlineLevel="0" collapsed="false">
      <c r="A30" s="20" t="n">
        <v>47150</v>
      </c>
      <c r="B30" s="0" t="n">
        <v>169.147267228213</v>
      </c>
      <c r="C30" s="0" t="n">
        <v>130.975316630277</v>
      </c>
      <c r="D30" s="0" t="n">
        <v>207.31921782615</v>
      </c>
      <c r="E30" s="0" t="n">
        <v>110.768306597157</v>
      </c>
      <c r="F30" s="0" t="n">
        <v>227.52622785927</v>
      </c>
      <c r="G30" s="0" t="n">
        <v>176.258211184214</v>
      </c>
      <c r="H30" s="0" t="n">
        <v>140.309151365403</v>
      </c>
      <c r="I30" s="0" t="n">
        <v>212.207271003025</v>
      </c>
      <c r="J30" s="0" t="n">
        <v>121.278868630016</v>
      </c>
      <c r="K30" s="0" t="n">
        <v>231.237553738411</v>
      </c>
    </row>
    <row r="31" customFormat="false" ht="15" hidden="false" customHeight="false" outlineLevel="0" collapsed="false">
      <c r="A31" s="20" t="n">
        <v>47178</v>
      </c>
      <c r="B31" s="0" t="n">
        <v>169.14726867142</v>
      </c>
      <c r="C31" s="0" t="n">
        <v>130.319093879851</v>
      </c>
      <c r="D31" s="0" t="n">
        <v>207.975443462988</v>
      </c>
      <c r="E31" s="0" t="n">
        <v>109.764699742513</v>
      </c>
      <c r="F31" s="0" t="n">
        <v>228.529837600326</v>
      </c>
      <c r="G31" s="0" t="n">
        <v>176.289709697089</v>
      </c>
      <c r="H31" s="0" t="n">
        <v>139.876526133757</v>
      </c>
      <c r="I31" s="0" t="n">
        <v>212.702893260422</v>
      </c>
      <c r="J31" s="0" t="n">
        <v>120.600551129171</v>
      </c>
      <c r="K31" s="0" t="n">
        <v>231.978868265008</v>
      </c>
    </row>
    <row r="32" customFormat="false" ht="15" hidden="false" customHeight="false" outlineLevel="0" collapsed="false">
      <c r="A32" s="20" t="n">
        <v>47209</v>
      </c>
      <c r="B32" s="0" t="n">
        <v>169.147271982946</v>
      </c>
      <c r="C32" s="0" t="n">
        <v>129.673781527348</v>
      </c>
      <c r="D32" s="0" t="n">
        <v>208.620762438544</v>
      </c>
      <c r="E32" s="0" t="n">
        <v>108.777777912545</v>
      </c>
      <c r="F32" s="0" t="n">
        <v>229.516766053346</v>
      </c>
      <c r="G32" s="0" t="n">
        <v>176.29944602173</v>
      </c>
      <c r="H32" s="0" t="n">
        <v>139.429099964612</v>
      </c>
      <c r="I32" s="0" t="n">
        <v>213.169792078849</v>
      </c>
      <c r="J32" s="0" t="n">
        <v>119.911117754368</v>
      </c>
      <c r="K32" s="0" t="n">
        <v>232.687774289092</v>
      </c>
    </row>
    <row r="33" customFormat="false" ht="15" hidden="false" customHeight="false" outlineLevel="0" collapsed="false">
      <c r="A33" s="20" t="n">
        <v>47239</v>
      </c>
      <c r="B33" s="0" t="n">
        <v>169.147271086765</v>
      </c>
      <c r="C33" s="0" t="n">
        <v>129.038845933809</v>
      </c>
      <c r="D33" s="0" t="n">
        <v>209.255696239721</v>
      </c>
      <c r="E33" s="0" t="n">
        <v>107.806728193348</v>
      </c>
      <c r="F33" s="0" t="n">
        <v>230.487813980182</v>
      </c>
      <c r="G33" s="0" t="n">
        <v>176.280191099768</v>
      </c>
      <c r="H33" s="0" t="n">
        <v>138.956577412747</v>
      </c>
      <c r="I33" s="0" t="n">
        <v>213.603804786789</v>
      </c>
      <c r="J33" s="0" t="n">
        <v>119.198649813242</v>
      </c>
      <c r="K33" s="0" t="n">
        <v>233.361732386295</v>
      </c>
    </row>
    <row r="34" customFormat="false" ht="15" hidden="false" customHeight="false" outlineLevel="0" collapsed="false">
      <c r="A34" s="20" t="n">
        <v>47270</v>
      </c>
      <c r="B34" s="0" t="n">
        <v>169.147269861528</v>
      </c>
      <c r="C34" s="0" t="n">
        <v>128.413805653106</v>
      </c>
      <c r="D34" s="0" t="n">
        <v>209.880734069951</v>
      </c>
      <c r="E34" s="0" t="n">
        <v>106.850812223374</v>
      </c>
      <c r="F34" s="0" t="n">
        <v>231.443727499683</v>
      </c>
      <c r="G34" s="0" t="n">
        <v>176.272215325189</v>
      </c>
      <c r="H34" s="0" t="n">
        <v>138.499919655919</v>
      </c>
      <c r="I34" s="0" t="n">
        <v>214.04451099446</v>
      </c>
      <c r="J34" s="0" t="n">
        <v>118.504474162384</v>
      </c>
      <c r="K34" s="0" t="n">
        <v>234.039956487995</v>
      </c>
    </row>
    <row r="35" customFormat="false" ht="15" hidden="false" customHeight="false" outlineLevel="0" collapsed="false">
      <c r="A35" s="20" t="n">
        <v>47300</v>
      </c>
      <c r="B35" s="0" t="n">
        <v>169.147270336711</v>
      </c>
      <c r="C35" s="0" t="n">
        <v>127.798214343836</v>
      </c>
      <c r="D35" s="0" t="n">
        <v>210.496326329587</v>
      </c>
      <c r="E35" s="0" t="n">
        <v>105.909346308015</v>
      </c>
      <c r="F35" s="0" t="n">
        <v>232.385194365408</v>
      </c>
      <c r="G35" s="0" t="n">
        <v>176.283801790789</v>
      </c>
      <c r="H35" s="0" t="n">
        <v>138.069080863631</v>
      </c>
      <c r="I35" s="0" t="n">
        <v>214.498522717946</v>
      </c>
      <c r="J35" s="0" t="n">
        <v>117.839429585875</v>
      </c>
      <c r="K35" s="0" t="n">
        <v>234.728173995702</v>
      </c>
    </row>
    <row r="36" customFormat="false" ht="15" hidden="false" customHeight="false" outlineLevel="0" collapsed="false">
      <c r="A36" s="20" t="n">
        <v>47331</v>
      </c>
      <c r="B36" s="0" t="n">
        <v>169.147270775989</v>
      </c>
      <c r="C36" s="0" t="n">
        <v>127.191654340705</v>
      </c>
      <c r="D36" s="0" t="n">
        <v>211.102887211273</v>
      </c>
      <c r="E36" s="0" t="n">
        <v>104.981692602481</v>
      </c>
      <c r="F36" s="0" t="n">
        <v>233.312848949496</v>
      </c>
      <c r="G36" s="0" t="n">
        <v>176.289954760141</v>
      </c>
      <c r="H36" s="0" t="n">
        <v>137.63849386659</v>
      </c>
      <c r="I36" s="0" t="n">
        <v>214.941415653691</v>
      </c>
      <c r="J36" s="0" t="n">
        <v>117.177646416134</v>
      </c>
      <c r="K36" s="0" t="n">
        <v>235.402263104148</v>
      </c>
    </row>
    <row r="37" customFormat="false" ht="15" hidden="false" customHeight="false" outlineLevel="0" collapsed="false">
      <c r="A37" s="20" t="n">
        <v>47362</v>
      </c>
      <c r="B37" s="0" t="n">
        <v>169.147270544615</v>
      </c>
      <c r="C37" s="0" t="n">
        <v>126.593738667529</v>
      </c>
      <c r="D37" s="0" t="n">
        <v>211.700802421701</v>
      </c>
      <c r="E37" s="0" t="n">
        <v>104.067259613785</v>
      </c>
      <c r="F37" s="0" t="n">
        <v>234.227281475445</v>
      </c>
      <c r="G37" s="0" t="n">
        <v>176.283105768858</v>
      </c>
      <c r="H37" s="0" t="n">
        <v>137.199223003898</v>
      </c>
      <c r="I37" s="0" t="n">
        <v>215.366988533818</v>
      </c>
      <c r="J37" s="0" t="n">
        <v>116.509465242146</v>
      </c>
      <c r="K37" s="0" t="n">
        <v>236.056746295569</v>
      </c>
    </row>
    <row r="38" customFormat="false" ht="15" hidden="false" customHeight="false" outlineLevel="0" collapsed="false">
      <c r="A38" s="20" t="n">
        <v>47392</v>
      </c>
      <c r="B38" s="0" t="n">
        <v>169.147270393093</v>
      </c>
      <c r="C38" s="0" t="n">
        <v>126.004108689017</v>
      </c>
      <c r="D38" s="0" t="n">
        <v>212.290432097168</v>
      </c>
      <c r="E38" s="0" t="n">
        <v>103.165498459286</v>
      </c>
      <c r="F38" s="0" t="n">
        <v>235.129042326899</v>
      </c>
      <c r="G38" s="0" t="n">
        <v>176.278548963557</v>
      </c>
      <c r="H38" s="0" t="n">
        <v>136.766537051926</v>
      </c>
      <c r="I38" s="0" t="n">
        <v>215.790560875187</v>
      </c>
      <c r="J38" s="0" t="n">
        <v>115.850141410089</v>
      </c>
      <c r="K38" s="0" t="n">
        <v>236.706956517024</v>
      </c>
    </row>
    <row r="39" customFormat="false" ht="15" hidden="false" customHeight="false" outlineLevel="0" collapsed="false">
      <c r="A39" s="20" t="n">
        <v>47423</v>
      </c>
      <c r="B39" s="0" t="n">
        <v>169.14727049965</v>
      </c>
      <c r="C39" s="0" t="n">
        <v>125.422429436958</v>
      </c>
      <c r="D39" s="0" t="n">
        <v>212.872111562341</v>
      </c>
      <c r="E39" s="0" t="n">
        <v>102.27589675497</v>
      </c>
      <c r="F39" s="0" t="n">
        <v>236.01864424433</v>
      </c>
      <c r="G39" s="0" t="n">
        <v>176.282513935369</v>
      </c>
      <c r="H39" s="0" t="n">
        <v>136.347274740852</v>
      </c>
      <c r="I39" s="0" t="n">
        <v>216.217753129886</v>
      </c>
      <c r="J39" s="0" t="n">
        <v>115.206836108871</v>
      </c>
      <c r="K39" s="0" t="n">
        <v>237.358191761867</v>
      </c>
    </row>
    <row r="40" customFormat="false" ht="15" hidden="false" customHeight="false" outlineLevel="0" collapsed="false">
      <c r="A40" s="20" t="n">
        <v>47453</v>
      </c>
      <c r="B40" s="0" t="n">
        <v>169.147270549298</v>
      </c>
      <c r="C40" s="0" t="n">
        <v>124.848387385093</v>
      </c>
      <c r="D40" s="0" t="n">
        <v>213.446153713503</v>
      </c>
      <c r="E40" s="0" t="n">
        <v>101.397975170541</v>
      </c>
      <c r="F40" s="0" t="n">
        <v>236.896565928055</v>
      </c>
      <c r="G40" s="0" t="n">
        <v>176.285787982152</v>
      </c>
      <c r="H40" s="0" t="n">
        <v>135.932063166446</v>
      </c>
      <c r="I40" s="0" t="n">
        <v>216.639512797859</v>
      </c>
      <c r="J40" s="0" t="n">
        <v>114.570091628401</v>
      </c>
      <c r="K40" s="0" t="n">
        <v>238.001484335903</v>
      </c>
    </row>
    <row r="41" customFormat="false" ht="15" hidden="false" customHeight="false" outlineLevel="0" collapsed="false">
      <c r="A41" s="20" t="n">
        <v>47484</v>
      </c>
      <c r="B41" s="0" t="n">
        <v>169.147270502194</v>
      </c>
      <c r="C41" s="0" t="n">
        <v>124.281689326148</v>
      </c>
      <c r="D41" s="0" t="n">
        <v>214.01285167824</v>
      </c>
      <c r="E41" s="0" t="n">
        <v>100.531285305266</v>
      </c>
      <c r="F41" s="0" t="n">
        <v>237.763255699122</v>
      </c>
      <c r="G41" s="0" t="n">
        <v>176.283550429011</v>
      </c>
      <c r="H41" s="0" t="n">
        <v>135.515467267863</v>
      </c>
      <c r="I41" s="0" t="n">
        <v>217.051633590158</v>
      </c>
      <c r="J41" s="0" t="n">
        <v>113.934147671559</v>
      </c>
      <c r="K41" s="0" t="n">
        <v>238.632953186463</v>
      </c>
    </row>
    <row r="42" customFormat="false" ht="15" hidden="false" customHeight="false" outlineLevel="0" collapsed="false">
      <c r="A42" s="20" t="n">
        <v>47515</v>
      </c>
      <c r="B42" s="0" t="n">
        <v>169.147270487119</v>
      </c>
      <c r="C42" s="0" t="n">
        <v>123.722060536823</v>
      </c>
      <c r="D42" s="0" t="n">
        <v>214.572480437415</v>
      </c>
      <c r="E42" s="0" t="n">
        <v>99.6754069379401</v>
      </c>
      <c r="F42" s="0" t="n">
        <v>238.619134036297</v>
      </c>
      <c r="G42" s="0" t="n">
        <v>176.281253607364</v>
      </c>
      <c r="H42" s="0" t="n">
        <v>135.10277625612</v>
      </c>
      <c r="I42" s="0" t="n">
        <v>217.459730958607</v>
      </c>
      <c r="J42" s="0" t="n">
        <v>113.304207098636</v>
      </c>
      <c r="K42" s="0" t="n">
        <v>239.258300116091</v>
      </c>
    </row>
    <row r="43" customFormat="false" ht="15" hidden="false" customHeight="false" outlineLevel="0" collapsed="false">
      <c r="A43" s="20" t="n">
        <v>47543</v>
      </c>
      <c r="B43" s="0" t="n">
        <v>169.147270507269</v>
      </c>
      <c r="C43" s="0" t="n">
        <v>123.169242892171</v>
      </c>
      <c r="D43" s="0" t="n">
        <v>215.125298122367</v>
      </c>
      <c r="E43" s="0" t="n">
        <v>98.8299452988324</v>
      </c>
      <c r="F43" s="0" t="n">
        <v>239.464595715705</v>
      </c>
      <c r="G43" s="0" t="n">
        <v>176.282475492597</v>
      </c>
      <c r="H43" s="0" t="n">
        <v>134.697740921689</v>
      </c>
      <c r="I43" s="0" t="n">
        <v>217.867210063504</v>
      </c>
      <c r="J43" s="0" t="n">
        <v>112.684112182884</v>
      </c>
      <c r="K43" s="0" t="n">
        <v>239.880838802309</v>
      </c>
    </row>
    <row r="44" customFormat="false" ht="15" hidden="false" customHeight="false" outlineLevel="0" collapsed="false">
      <c r="A44" s="20" t="n">
        <v>47574</v>
      </c>
      <c r="B44" s="0" t="n">
        <v>169.147270511274</v>
      </c>
      <c r="C44" s="0" t="n">
        <v>122.622993539741</v>
      </c>
      <c r="D44" s="0" t="n">
        <v>215.671547482808</v>
      </c>
      <c r="E44" s="0" t="n">
        <v>97.994529004363</v>
      </c>
      <c r="F44" s="0" t="n">
        <v>240.300012018186</v>
      </c>
      <c r="G44" s="0" t="n">
        <v>176.284055149071</v>
      </c>
      <c r="H44" s="0" t="n">
        <v>134.29713049068</v>
      </c>
      <c r="I44" s="0" t="n">
        <v>218.270979807462</v>
      </c>
      <c r="J44" s="0" t="n">
        <v>112.070595180278</v>
      </c>
      <c r="K44" s="0" t="n">
        <v>240.497515117865</v>
      </c>
    </row>
    <row r="45" customFormat="false" ht="15" hidden="false" customHeight="false" outlineLevel="0" collapsed="false">
      <c r="A45" s="20" t="n">
        <v>47604</v>
      </c>
      <c r="B45" s="0" t="n">
        <v>169.147270502894</v>
      </c>
      <c r="C45" s="0" t="n">
        <v>122.083083776269</v>
      </c>
      <c r="D45" s="0" t="n">
        <v>216.211457229518</v>
      </c>
      <c r="E45" s="0" t="n">
        <v>97.1688082810841</v>
      </c>
      <c r="F45" s="0" t="n">
        <v>241.125732724703</v>
      </c>
      <c r="G45" s="0" t="n">
        <v>176.283417482453</v>
      </c>
      <c r="H45" s="0" t="n">
        <v>133.898076598898</v>
      </c>
      <c r="I45" s="0" t="n">
        <v>218.668758366008</v>
      </c>
      <c r="J45" s="0" t="n">
        <v>111.460632478934</v>
      </c>
      <c r="K45" s="0" t="n">
        <v>241.106202485972</v>
      </c>
    </row>
    <row r="46" customFormat="false" ht="15" hidden="false" customHeight="false" outlineLevel="0" collapsed="false">
      <c r="A46" s="20" t="n">
        <v>47635</v>
      </c>
      <c r="B46" s="0" t="n">
        <v>169.147270502125</v>
      </c>
      <c r="C46" s="0" t="n">
        <v>121.549297890512</v>
      </c>
      <c r="D46" s="0" t="n">
        <v>216.745243113739</v>
      </c>
      <c r="E46" s="0" t="n">
        <v>96.352453216532</v>
      </c>
      <c r="F46" s="0" t="n">
        <v>241.942087787719</v>
      </c>
      <c r="G46" s="0" t="n">
        <v>176.282349488083</v>
      </c>
      <c r="H46" s="0" t="n">
        <v>133.502213271228</v>
      </c>
      <c r="I46" s="0" t="n">
        <v>219.062485704938</v>
      </c>
      <c r="J46" s="0" t="n">
        <v>110.855777126071</v>
      </c>
      <c r="K46" s="0" t="n">
        <v>241.708921850095</v>
      </c>
    </row>
    <row r="47" customFormat="false" ht="15" hidden="false" customHeight="false" outlineLevel="0" collapsed="false">
      <c r="A47" s="20" t="n">
        <v>47665</v>
      </c>
      <c r="B47" s="0" t="n">
        <v>169.147270505523</v>
      </c>
      <c r="C47" s="0" t="n">
        <v>121.021432111068</v>
      </c>
      <c r="D47" s="0" t="n">
        <v>217.273108899979</v>
      </c>
      <c r="E47" s="0" t="n">
        <v>95.545152171062</v>
      </c>
      <c r="F47" s="0" t="n">
        <v>242.749388839985</v>
      </c>
      <c r="G47" s="0" t="n">
        <v>176.282660121354</v>
      </c>
      <c r="H47" s="0" t="n">
        <v>133.111357270173</v>
      </c>
      <c r="I47" s="0" t="n">
        <v>219.453962972535</v>
      </c>
      <c r="J47" s="0" t="n">
        <v>110.257850017026</v>
      </c>
      <c r="K47" s="0" t="n">
        <v>242.307470225682</v>
      </c>
    </row>
    <row r="48" customFormat="false" ht="15" hidden="false" customHeight="false" outlineLevel="0" collapsed="false">
      <c r="A48" s="20" t="n">
        <v>47696</v>
      </c>
      <c r="B48" s="0" t="n">
        <v>169.147270505495</v>
      </c>
      <c r="C48" s="0" t="n">
        <v>120.499293716982</v>
      </c>
      <c r="D48" s="0" t="n">
        <v>217.795247294009</v>
      </c>
      <c r="E48" s="0" t="n">
        <v>94.7466104074299</v>
      </c>
      <c r="F48" s="0" t="n">
        <v>243.547930603561</v>
      </c>
      <c r="G48" s="0" t="n">
        <v>176.283371231403</v>
      </c>
      <c r="H48" s="0" t="n">
        <v>132.724472183703</v>
      </c>
      <c r="I48" s="0" t="n">
        <v>219.842270279103</v>
      </c>
      <c r="J48" s="0" t="n">
        <v>109.665783898171</v>
      </c>
      <c r="K48" s="0" t="n">
        <v>242.900958564636</v>
      </c>
    </row>
    <row r="49" customFormat="false" ht="15" hidden="false" customHeight="false" outlineLevel="0" collapsed="false">
      <c r="A49" s="20" t="n">
        <v>47727</v>
      </c>
      <c r="B49" s="0" t="n">
        <v>169.147270504151</v>
      </c>
      <c r="C49" s="0" t="n">
        <v>119.982700231582</v>
      </c>
      <c r="D49" s="0" t="n">
        <v>218.31184077672</v>
      </c>
      <c r="E49" s="0" t="n">
        <v>93.9565488505325</v>
      </c>
      <c r="F49" s="0" t="n">
        <v>244.33799215777</v>
      </c>
      <c r="G49" s="0" t="n">
        <v>176.283237258644</v>
      </c>
      <c r="H49" s="0" t="n">
        <v>132.340154229403</v>
      </c>
      <c r="I49" s="0" t="n">
        <v>220.226320287885</v>
      </c>
      <c r="J49" s="0" t="n">
        <v>109.078091228984</v>
      </c>
      <c r="K49" s="0" t="n">
        <v>243.488383288305</v>
      </c>
    </row>
    <row r="50" customFormat="false" ht="15" hidden="false" customHeight="false" outlineLevel="0" collapsed="false">
      <c r="A50" s="20" t="n">
        <v>47757</v>
      </c>
      <c r="B50" s="0" t="n">
        <v>169.147270504294</v>
      </c>
      <c r="C50" s="0" t="n">
        <v>119.471478668135</v>
      </c>
      <c r="D50" s="0" t="n">
        <v>218.823062340452</v>
      </c>
      <c r="E50" s="0" t="n">
        <v>93.1747029385051</v>
      </c>
      <c r="F50" s="0" t="n">
        <v>245.119838070082</v>
      </c>
      <c r="G50" s="0" t="n">
        <v>176.282770398675</v>
      </c>
      <c r="H50" s="0" t="n">
        <v>131.958796310678</v>
      </c>
      <c r="I50" s="0" t="n">
        <v>220.606744486673</v>
      </c>
      <c r="J50" s="0" t="n">
        <v>108.495101763395</v>
      </c>
      <c r="K50" s="0" t="n">
        <v>244.070439033955</v>
      </c>
    </row>
    <row r="51" customFormat="false" ht="15" hidden="false" customHeight="false" outlineLevel="0" collapsed="false">
      <c r="A51" s="20" t="n">
        <v>47788</v>
      </c>
      <c r="B51" s="0" t="n">
        <v>169.147270504813</v>
      </c>
      <c r="C51" s="0" t="n">
        <v>118.965464847747</v>
      </c>
      <c r="D51" s="0" t="n">
        <v>219.329076161879</v>
      </c>
      <c r="E51" s="0" t="n">
        <v>92.4008215819855</v>
      </c>
      <c r="F51" s="0" t="n">
        <v>245.89371942764</v>
      </c>
      <c r="G51" s="0" t="n">
        <v>176.282813619464</v>
      </c>
      <c r="H51" s="0" t="n">
        <v>131.581194532178</v>
      </c>
      <c r="I51" s="0" t="n">
        <v>220.98443270675</v>
      </c>
      <c r="J51" s="0" t="n">
        <v>107.917586798118</v>
      </c>
      <c r="K51" s="0" t="n">
        <v>244.648040440811</v>
      </c>
    </row>
    <row r="52" customFormat="false" ht="15" hidden="false" customHeight="false" outlineLevel="0" collapsed="false">
      <c r="A52" s="20" t="n">
        <v>47818</v>
      </c>
      <c r="B52" s="0" t="n">
        <v>169.147270504705</v>
      </c>
      <c r="C52" s="0" t="n">
        <v>118.464502787644</v>
      </c>
      <c r="D52" s="0" t="n">
        <v>219.830038221767</v>
      </c>
      <c r="E52" s="0" t="n">
        <v>91.6346662264401</v>
      </c>
      <c r="F52" s="0" t="n">
        <v>246.659874782971</v>
      </c>
      <c r="G52" s="0" t="n">
        <v>176.283116056923</v>
      </c>
      <c r="H52" s="0" t="n">
        <v>131.207039024322</v>
      </c>
      <c r="I52" s="0" t="n">
        <v>221.359193089523</v>
      </c>
      <c r="J52" s="0" t="n">
        <v>107.345205227945</v>
      </c>
      <c r="K52" s="0" t="n">
        <v>245.2210268859</v>
      </c>
    </row>
    <row r="53" customFormat="false" ht="15" hidden="false" customHeight="false" outlineLevel="0" collapsed="false">
      <c r="A53" s="20" t="n">
        <v>47849</v>
      </c>
      <c r="B53" s="0" t="n">
        <v>169.14727050451</v>
      </c>
      <c r="C53" s="0" t="n">
        <v>117.96844414123</v>
      </c>
      <c r="D53" s="0" t="n">
        <v>220.32609686779</v>
      </c>
      <c r="E53" s="0" t="n">
        <v>90.8760099950418</v>
      </c>
      <c r="F53" s="0" t="n">
        <v>247.418531013978</v>
      </c>
      <c r="G53" s="0" t="n">
        <v>176.283115915416</v>
      </c>
      <c r="H53" s="0" t="n">
        <v>130.835667784144</v>
      </c>
      <c r="I53" s="0" t="n">
        <v>221.730564046687</v>
      </c>
      <c r="J53" s="0" t="n">
        <v>106.777242003357</v>
      </c>
      <c r="K53" s="0" t="n">
        <v>245.788989827474</v>
      </c>
    </row>
    <row r="54" customFormat="false" ht="15" hidden="false" customHeight="false" outlineLevel="0" collapsed="false">
      <c r="A54" s="20" t="n">
        <v>47880</v>
      </c>
      <c r="B54" s="0" t="n">
        <v>169.147270504572</v>
      </c>
      <c r="C54" s="0" t="n">
        <v>117.477147683137</v>
      </c>
      <c r="D54" s="0" t="n">
        <v>220.817393326006</v>
      </c>
      <c r="E54" s="0" t="n">
        <v>90.124636902047</v>
      </c>
      <c r="F54" s="0" t="n">
        <v>248.169904107096</v>
      </c>
      <c r="G54" s="0" t="n">
        <v>176.282922525258</v>
      </c>
      <c r="H54" s="0" t="n">
        <v>130.467098941316</v>
      </c>
      <c r="I54" s="0" t="n">
        <v>222.098746109201</v>
      </c>
      <c r="J54" s="0" t="n">
        <v>106.21366697532</v>
      </c>
      <c r="K54" s="0" t="n">
        <v>246.352178075196</v>
      </c>
    </row>
    <row r="55" customFormat="false" ht="15" hidden="false" customHeight="false" outlineLevel="0" collapsed="false">
      <c r="A55" s="20" t="n">
        <v>47908</v>
      </c>
      <c r="B55" s="0" t="n">
        <v>169.147270504643</v>
      </c>
      <c r="C55" s="0" t="n">
        <v>116.990478839123</v>
      </c>
      <c r="D55" s="0" t="n">
        <v>221.304062170163</v>
      </c>
      <c r="E55" s="0" t="n">
        <v>89.3803411340436</v>
      </c>
      <c r="F55" s="0" t="n">
        <v>248.914199875243</v>
      </c>
      <c r="G55" s="0" t="n">
        <v>176.282905035212</v>
      </c>
      <c r="H55" s="0" t="n">
        <v>130.10164198679</v>
      </c>
      <c r="I55" s="0" t="n">
        <v>222.464168083634</v>
      </c>
      <c r="J55" s="0" t="n">
        <v>105.654758053851</v>
      </c>
      <c r="K55" s="0" t="n">
        <v>246.911052016573</v>
      </c>
    </row>
    <row r="56" customFormat="false" ht="15" hidden="false" customHeight="false" outlineLevel="0" collapsed="false">
      <c r="A56" s="20" t="n">
        <v>47939</v>
      </c>
      <c r="B56" s="0" t="n">
        <v>169.147270504612</v>
      </c>
      <c r="C56" s="0" t="n">
        <v>116.508309256316</v>
      </c>
      <c r="D56" s="0" t="n">
        <v>221.786231752907</v>
      </c>
      <c r="E56" s="0" t="n">
        <v>88.6429263923123</v>
      </c>
      <c r="F56" s="0" t="n">
        <v>249.651614616911</v>
      </c>
      <c r="G56" s="0" t="n">
        <v>176.283027098132</v>
      </c>
      <c r="H56" s="0" t="n">
        <v>129.739202659171</v>
      </c>
      <c r="I56" s="0" t="n">
        <v>222.826851537093</v>
      </c>
      <c r="J56" s="0" t="n">
        <v>105.100390319601</v>
      </c>
      <c r="K56" s="0" t="n">
        <v>247.465663876663</v>
      </c>
    </row>
    <row r="57" customFormat="false" ht="15" hidden="false" customHeight="false" outlineLevel="0" collapsed="false">
      <c r="A57" s="20" t="n">
        <v>47969</v>
      </c>
      <c r="B57" s="0" t="n">
        <v>169.147270504586</v>
      </c>
      <c r="C57" s="0" t="n">
        <v>116.030516407983</v>
      </c>
      <c r="D57" s="0" t="n">
        <v>222.26402460119</v>
      </c>
      <c r="E57" s="0" t="n">
        <v>87.9122052883291</v>
      </c>
      <c r="F57" s="0" t="n">
        <v>250.382335720844</v>
      </c>
      <c r="G57" s="0" t="n">
        <v>176.283049377575</v>
      </c>
      <c r="H57" s="0" t="n">
        <v>129.379468321447</v>
      </c>
      <c r="I57" s="0" t="n">
        <v>223.186630433703</v>
      </c>
      <c r="J57" s="0" t="n">
        <v>104.550212332583</v>
      </c>
      <c r="K57" s="0" t="n">
        <v>248.015886422567</v>
      </c>
    </row>
    <row r="58" customFormat="false" ht="15" hidden="false" customHeight="false" outlineLevel="0" collapsed="false">
      <c r="A58" s="20" t="n">
        <v>48000</v>
      </c>
      <c r="B58" s="0" t="n">
        <v>169.147270504601</v>
      </c>
      <c r="C58" s="0" t="n">
        <v>115.556983229591</v>
      </c>
      <c r="D58" s="0" t="n">
        <v>222.737557779611</v>
      </c>
      <c r="E58" s="0" t="n">
        <v>87.1879987873221</v>
      </c>
      <c r="F58" s="0" t="n">
        <v>251.106542221881</v>
      </c>
      <c r="G58" s="0" t="n">
        <v>176.282973356393</v>
      </c>
      <c r="H58" s="0" t="n">
        <v>129.022368734524</v>
      </c>
      <c r="I58" s="0" t="n">
        <v>223.543577978262</v>
      </c>
      <c r="J58" s="0" t="n">
        <v>104.004115886396</v>
      </c>
      <c r="K58" s="0" t="n">
        <v>248.561830826391</v>
      </c>
    </row>
    <row r="59" customFormat="false" ht="15" hidden="false" customHeight="false" outlineLevel="0" collapsed="false">
      <c r="A59" s="20" t="n">
        <v>48030</v>
      </c>
      <c r="B59" s="0" t="n">
        <v>169.14727050461</v>
      </c>
      <c r="C59" s="0" t="n">
        <v>115.087597783837</v>
      </c>
      <c r="D59" s="0" t="n">
        <v>223.206943225383</v>
      </c>
      <c r="E59" s="0" t="n">
        <v>86.4701356959833</v>
      </c>
      <c r="F59" s="0" t="n">
        <v>251.824405313237</v>
      </c>
      <c r="G59" s="0" t="n">
        <v>176.282952200147</v>
      </c>
      <c r="H59" s="0" t="n">
        <v>128.667999024245</v>
      </c>
      <c r="I59" s="0" t="n">
        <v>223.89790537605</v>
      </c>
      <c r="J59" s="0" t="n">
        <v>103.462165382512</v>
      </c>
      <c r="K59" s="0" t="n">
        <v>249.103739017782</v>
      </c>
    </row>
    <row r="60" customFormat="false" ht="15" hidden="false" customHeight="false" outlineLevel="0" collapsed="false">
      <c r="A60" s="20" t="n">
        <v>48061</v>
      </c>
      <c r="B60" s="0" t="n">
        <v>169.147270504603</v>
      </c>
      <c r="C60" s="0" t="n">
        <v>114.622252951775</v>
      </c>
      <c r="D60" s="0" t="n">
        <v>223.672288057432</v>
      </c>
      <c r="E60" s="0" t="n">
        <v>85.7584521900283</v>
      </c>
      <c r="F60" s="0" t="n">
        <v>252.536088819178</v>
      </c>
      <c r="G60" s="0" t="n">
        <v>176.282998884533</v>
      </c>
      <c r="H60" s="0" t="n">
        <v>128.316318024848</v>
      </c>
      <c r="I60" s="0" t="n">
        <v>224.249679744218</v>
      </c>
      <c r="J60" s="0" t="n">
        <v>102.924290994416</v>
      </c>
      <c r="K60" s="0" t="n">
        <v>249.641706774651</v>
      </c>
    </row>
    <row r="61" customFormat="false" ht="15" hidden="false" customHeight="false" outlineLevel="0" collapsed="false">
      <c r="A61" s="20" t="n">
        <v>48092</v>
      </c>
      <c r="B61" s="0" t="n">
        <v>169.1472705046</v>
      </c>
      <c r="C61" s="0" t="n">
        <v>114.160846147352</v>
      </c>
      <c r="D61" s="0" t="n">
        <v>224.133694861849</v>
      </c>
      <c r="E61" s="0" t="n">
        <v>85.0527913776173</v>
      </c>
      <c r="F61" s="0" t="n">
        <v>253.241749631584</v>
      </c>
      <c r="G61" s="0" t="n">
        <v>176.283016655691</v>
      </c>
      <c r="H61" s="0" t="n">
        <v>127.967170041826</v>
      </c>
      <c r="I61" s="0" t="n">
        <v>224.598863269555</v>
      </c>
      <c r="J61" s="0" t="n">
        <v>102.390305826304</v>
      </c>
      <c r="K61" s="0" t="n">
        <v>250.175727485078</v>
      </c>
    </row>
    <row r="62" customFormat="false" ht="15" hidden="false" customHeight="false" outlineLevel="0" collapsed="false">
      <c r="A62" s="20" t="n">
        <v>48122</v>
      </c>
      <c r="B62" s="0" t="n">
        <v>169.147270504603</v>
      </c>
      <c r="C62" s="0" t="n">
        <v>113.703279053279</v>
      </c>
      <c r="D62" s="0" t="n">
        <v>224.591261955928</v>
      </c>
      <c r="E62" s="0" t="n">
        <v>84.3530028954314</v>
      </c>
      <c r="F62" s="0" t="n">
        <v>253.941538113775</v>
      </c>
      <c r="G62" s="0" t="n">
        <v>176.282988421405</v>
      </c>
      <c r="H62" s="0" t="n">
        <v>127.620479440625</v>
      </c>
      <c r="I62" s="0" t="n">
        <v>224.945497402185</v>
      </c>
      <c r="J62" s="0" t="n">
        <v>101.86010325318</v>
      </c>
      <c r="K62" s="0" t="n">
        <v>250.705873589631</v>
      </c>
    </row>
    <row r="63" customFormat="false" ht="15" hidden="false" customHeight="false" outlineLevel="0" collapsed="false">
      <c r="A63" s="20" t="n">
        <v>48153</v>
      </c>
      <c r="B63" s="0" t="n">
        <v>169.147270504604</v>
      </c>
      <c r="C63" s="0" t="n">
        <v>113.249457376418</v>
      </c>
      <c r="D63" s="0" t="n">
        <v>225.04508363279</v>
      </c>
      <c r="E63" s="0" t="n">
        <v>83.6589425345641</v>
      </c>
      <c r="F63" s="0" t="n">
        <v>254.635598474644</v>
      </c>
      <c r="G63" s="0" t="n">
        <v>176.282974491904</v>
      </c>
      <c r="H63" s="0" t="n">
        <v>127.276254173171</v>
      </c>
      <c r="I63" s="0" t="n">
        <v>225.289694810636</v>
      </c>
      <c r="J63" s="0" t="n">
        <v>101.33366351016</v>
      </c>
      <c r="K63" s="0" t="n">
        <v>251.232285473647</v>
      </c>
    </row>
    <row r="64" customFormat="false" ht="15" hidden="false" customHeight="false" outlineLevel="0" collapsed="false">
      <c r="A64" s="20" t="n">
        <v>48183</v>
      </c>
      <c r="B64" s="0" t="n">
        <v>169.147270504603</v>
      </c>
      <c r="C64" s="0" t="n">
        <v>112.799290620913</v>
      </c>
      <c r="D64" s="0" t="n">
        <v>225.495250388293</v>
      </c>
      <c r="E64" s="0" t="n">
        <v>82.9704718935472</v>
      </c>
      <c r="F64" s="0" t="n">
        <v>255.324069115659</v>
      </c>
      <c r="G64" s="0" t="n">
        <v>176.282991278502</v>
      </c>
      <c r="H64" s="0" t="n">
        <v>126.934461571886</v>
      </c>
      <c r="I64" s="0" t="n">
        <v>225.631520985119</v>
      </c>
      <c r="J64" s="0" t="n">
        <v>100.810927948869</v>
      </c>
      <c r="K64" s="0" t="n">
        <v>251.755054608135</v>
      </c>
    </row>
    <row r="65" customFormat="false" ht="15" hidden="false" customHeight="false" outlineLevel="0" collapsed="false">
      <c r="A65" s="20" t="n">
        <v>48214</v>
      </c>
      <c r="B65" s="0" t="n">
        <v>169.147270504603</v>
      </c>
      <c r="C65" s="0" t="n">
        <v>112.352691877485</v>
      </c>
      <c r="D65" s="0" t="n">
        <v>225.941849131721</v>
      </c>
      <c r="E65" s="0" t="n">
        <v>82.2874580561075</v>
      </c>
      <c r="F65" s="0" t="n">
        <v>256.007082953098</v>
      </c>
      <c r="G65" s="0" t="n">
        <v>176.28300171099</v>
      </c>
      <c r="H65" s="0" t="n">
        <v>126.595014712532</v>
      </c>
      <c r="I65" s="0" t="n">
        <v>225.970988709447</v>
      </c>
      <c r="J65" s="0" t="n">
        <v>100.291783253942</v>
      </c>
      <c r="K65" s="0" t="n">
        <v>252.274220168037</v>
      </c>
    </row>
    <row r="66" customFormat="false" ht="15" hidden="false" customHeight="false" outlineLevel="0" collapsed="false">
      <c r="A66" s="20" t="n">
        <v>48245</v>
      </c>
      <c r="B66" s="0" t="n">
        <v>169.147270504603</v>
      </c>
      <c r="C66" s="0" t="n">
        <v>111.909577627523</v>
      </c>
      <c r="D66" s="0" t="n">
        <v>226.384963381684</v>
      </c>
      <c r="E66" s="0" t="n">
        <v>81.6097732915513</v>
      </c>
      <c r="F66" s="0" t="n">
        <v>256.684767717655</v>
      </c>
      <c r="G66" s="0" t="n">
        <v>176.282991926092</v>
      </c>
      <c r="H66" s="0" t="n">
        <v>126.257850430298</v>
      </c>
      <c r="I66" s="0" t="n">
        <v>226.308133421887</v>
      </c>
      <c r="J66" s="0" t="n">
        <v>99.7761401619092</v>
      </c>
      <c r="K66" s="0" t="n">
        <v>252.789843690276</v>
      </c>
    </row>
    <row r="67" customFormat="false" ht="15" hidden="false" customHeight="false" outlineLevel="0" collapsed="false">
      <c r="A67" s="20" t="n">
        <v>48274</v>
      </c>
      <c r="B67" s="0" t="n">
        <v>169.147270504603</v>
      </c>
      <c r="C67" s="0" t="n">
        <v>111.469867560728</v>
      </c>
      <c r="D67" s="0" t="n">
        <v>226.824673448478</v>
      </c>
      <c r="E67" s="0" t="n">
        <v>80.9372947758776</v>
      </c>
      <c r="F67" s="0" t="n">
        <v>257.357246233329</v>
      </c>
      <c r="G67" s="0" t="n">
        <v>176.282984366086</v>
      </c>
      <c r="H67" s="0" t="n">
        <v>125.922944967695</v>
      </c>
      <c r="I67" s="0" t="n">
        <v>226.643023764477</v>
      </c>
      <c r="J67" s="0" t="n">
        <v>99.2639504586056</v>
      </c>
      <c r="K67" s="0" t="n">
        <v>253.302018273567</v>
      </c>
    </row>
    <row r="68" customFormat="false" ht="15" hidden="false" customHeight="false" outlineLevel="0" collapsed="false">
      <c r="A68" s="20" t="n">
        <v>48305</v>
      </c>
      <c r="B68" s="0" t="n">
        <v>169.147270504603</v>
      </c>
      <c r="C68" s="0" t="n">
        <v>111.033484405182</v>
      </c>
      <c r="D68" s="0" t="n">
        <v>227.261056604024</v>
      </c>
      <c r="E68" s="0" t="n">
        <v>80.2699043318835</v>
      </c>
      <c r="F68" s="0" t="n">
        <v>258.024636677323</v>
      </c>
      <c r="G68" s="0" t="n">
        <v>176.282989935252</v>
      </c>
      <c r="H68" s="0" t="n">
        <v>125.590265405119</v>
      </c>
      <c r="I68" s="0" t="n">
        <v>226.975714465386</v>
      </c>
      <c r="J68" s="0" t="n">
        <v>98.755158025461</v>
      </c>
      <c r="K68" s="0" t="n">
        <v>253.810821845044</v>
      </c>
    </row>
    <row r="69" customFormat="false" ht="15" hidden="false" customHeight="false" outlineLevel="0" collapsed="false">
      <c r="A69" s="20" t="n">
        <v>48335</v>
      </c>
      <c r="B69" s="0" t="n">
        <v>169.147270504603</v>
      </c>
      <c r="C69" s="0" t="n">
        <v>110.600353768806</v>
      </c>
      <c r="D69" s="0" t="n">
        <v>227.6941872404</v>
      </c>
      <c r="E69" s="0" t="n">
        <v>79.6074881867027</v>
      </c>
      <c r="F69" s="0" t="n">
        <v>258.687052822504</v>
      </c>
      <c r="G69" s="0" t="n">
        <v>176.282995275366</v>
      </c>
      <c r="H69" s="0" t="n">
        <v>125.259755149837</v>
      </c>
      <c r="I69" s="0" t="n">
        <v>227.306235400896</v>
      </c>
      <c r="J69" s="0" t="n">
        <v>98.2496833827778</v>
      </c>
      <c r="K69" s="0" t="n">
        <v>254.316307167955</v>
      </c>
    </row>
    <row r="70" customFormat="false" ht="15" hidden="false" customHeight="false" outlineLevel="0" collapsed="false">
      <c r="A70" s="20" t="n">
        <v>48366</v>
      </c>
      <c r="B70" s="0" t="n">
        <v>169.147270504603</v>
      </c>
      <c r="C70" s="0" t="n">
        <v>110.170403991304</v>
      </c>
      <c r="D70" s="0" t="n">
        <v>228.124137017902</v>
      </c>
      <c r="E70" s="0" t="n">
        <v>78.9499367453712</v>
      </c>
      <c r="F70" s="0" t="n">
        <v>259.344604263835</v>
      </c>
      <c r="G70" s="0" t="n">
        <v>176.282992199918</v>
      </c>
      <c r="H70" s="0" t="n">
        <v>124.931363560034</v>
      </c>
      <c r="I70" s="0" t="n">
        <v>227.634620839801</v>
      </c>
      <c r="J70" s="0" t="n">
        <v>97.7474534142607</v>
      </c>
      <c r="K70" s="0" t="n">
        <v>254.818530985575</v>
      </c>
    </row>
    <row r="71" customFormat="false" ht="15" hidden="false" customHeight="false" outlineLevel="0" collapsed="false">
      <c r="A71" s="20" t="n">
        <v>48396</v>
      </c>
      <c r="B71" s="0" t="n">
        <v>169.147270504603</v>
      </c>
      <c r="C71" s="0" t="n">
        <v>109.743566005754</v>
      </c>
      <c r="D71" s="0" t="n">
        <v>228.550975003453</v>
      </c>
      <c r="E71" s="0" t="n">
        <v>78.2971443791454</v>
      </c>
      <c r="F71" s="0" t="n">
        <v>259.997396630061</v>
      </c>
      <c r="G71" s="0" t="n">
        <v>176.28298850589</v>
      </c>
      <c r="H71" s="0" t="n">
        <v>124.605057801021</v>
      </c>
      <c r="I71" s="0" t="n">
        <v>227.96091921076</v>
      </c>
      <c r="J71" s="0" t="n">
        <v>97.2484137761108</v>
      </c>
      <c r="K71" s="0" t="n">
        <v>255.31756323567</v>
      </c>
    </row>
    <row r="72" customFormat="false" ht="15" hidden="false" customHeight="false" outlineLevel="0" collapsed="false">
      <c r="A72" s="20" t="n">
        <v>48427</v>
      </c>
      <c r="B72" s="0" t="n">
        <v>169.147270504603</v>
      </c>
      <c r="C72" s="0" t="n">
        <v>109.319773209081</v>
      </c>
      <c r="D72" s="0" t="n">
        <v>228.974767800126</v>
      </c>
      <c r="E72" s="0" t="n">
        <v>77.6490092274133</v>
      </c>
      <c r="F72" s="0" t="n">
        <v>260.645531781793</v>
      </c>
      <c r="G72" s="0" t="n">
        <v>176.282990136507</v>
      </c>
      <c r="H72" s="0" t="n">
        <v>124.28080488857</v>
      </c>
      <c r="I72" s="0" t="n">
        <v>228.285175384443</v>
      </c>
      <c r="J72" s="0" t="n">
        <v>96.7525108771545</v>
      </c>
      <c r="K72" s="0" t="n">
        <v>255.813469395859</v>
      </c>
    </row>
    <row r="73" customFormat="false" ht="15" hidden="false" customHeight="false" outlineLevel="0" collapsed="false">
      <c r="A73" s="20" t="n">
        <v>48458</v>
      </c>
      <c r="B73" s="0" t="n">
        <v>169.147270504603</v>
      </c>
      <c r="C73" s="0" t="n">
        <v>108.898961340736</v>
      </c>
      <c r="D73" s="0" t="n">
        <v>229.39557966847</v>
      </c>
      <c r="E73" s="0" t="n">
        <v>77.005433012147</v>
      </c>
      <c r="F73" s="0" t="n">
        <v>261.289107997059</v>
      </c>
      <c r="G73" s="0" t="n">
        <v>176.282992646687</v>
      </c>
      <c r="H73" s="0" t="n">
        <v>123.958562395324</v>
      </c>
      <c r="I73" s="0" t="n">
        <v>228.607422898051</v>
      </c>
      <c r="J73" s="0" t="n">
        <v>96.2596821834286</v>
      </c>
      <c r="K73" s="0" t="n">
        <v>256.306303109946</v>
      </c>
    </row>
    <row r="74" customFormat="false" ht="15" hidden="false" customHeight="false" outlineLevel="0" collapsed="false">
      <c r="A74" s="20" t="n">
        <v>48488</v>
      </c>
      <c r="B74" s="0" t="n">
        <v>169.147270504603</v>
      </c>
      <c r="C74" s="0" t="n">
        <v>108.481068368949</v>
      </c>
      <c r="D74" s="0" t="n">
        <v>229.813472640257</v>
      </c>
      <c r="E74" s="0" t="n">
        <v>76.3663208639388</v>
      </c>
      <c r="F74" s="0" t="n">
        <v>261.928220145268</v>
      </c>
      <c r="G74" s="0" t="n">
        <v>176.282991832271</v>
      </c>
      <c r="H74" s="0" t="n">
        <v>123.638289002517</v>
      </c>
      <c r="I74" s="0" t="n">
        <v>228.927694662025</v>
      </c>
      <c r="J74" s="0" t="n">
        <v>95.7698667288856</v>
      </c>
      <c r="K74" s="0" t="n">
        <v>256.796116935656</v>
      </c>
    </row>
    <row r="75" customFormat="false" ht="15" hidden="false" customHeight="false" outlineLevel="0" collapsed="false">
      <c r="A75" s="20" t="n">
        <v>48519</v>
      </c>
      <c r="B75" s="0" t="n">
        <v>169.147270504603</v>
      </c>
      <c r="C75" s="0" t="n">
        <v>108.066034383982</v>
      </c>
      <c r="D75" s="0" t="n">
        <v>230.228506625225</v>
      </c>
      <c r="E75" s="0" t="n">
        <v>75.7315811587508</v>
      </c>
      <c r="F75" s="0" t="n">
        <v>262.562959850456</v>
      </c>
      <c r="G75" s="0" t="n">
        <v>176.282990153235</v>
      </c>
      <c r="H75" s="0" t="n">
        <v>123.319951316003</v>
      </c>
      <c r="I75" s="0" t="n">
        <v>229.246028990468</v>
      </c>
      <c r="J75" s="0" t="n">
        <v>95.2830121393506</v>
      </c>
      <c r="K75" s="0" t="n">
        <v>257.28296816712</v>
      </c>
    </row>
    <row r="76" customFormat="false" ht="15" hidden="false" customHeight="false" outlineLevel="0" collapsed="false">
      <c r="A76" s="20" t="n">
        <v>48549</v>
      </c>
      <c r="B76" s="0" t="n">
        <v>169.147270504603</v>
      </c>
      <c r="C76" s="0" t="n">
        <v>107.653801497868</v>
      </c>
      <c r="D76" s="0" t="n">
        <v>230.640739511338</v>
      </c>
      <c r="E76" s="0" t="n">
        <v>75.101125364581</v>
      </c>
      <c r="F76" s="0" t="n">
        <v>263.193415644625</v>
      </c>
      <c r="G76" s="0" t="n">
        <v>176.282990521334</v>
      </c>
      <c r="H76" s="0" t="n">
        <v>123.003517663306</v>
      </c>
      <c r="I76" s="0" t="n">
        <v>229.562463379362</v>
      </c>
      <c r="J76" s="0" t="n">
        <v>94.7990684345642</v>
      </c>
      <c r="K76" s="0" t="n">
        <v>257.766912608103</v>
      </c>
    </row>
    <row r="77" customFormat="false" ht="15" hidden="false" customHeight="false" outlineLevel="0" collapsed="false">
      <c r="A77" s="20" t="n">
        <v>48580</v>
      </c>
      <c r="B77" s="0" t="n">
        <v>169.147270504603</v>
      </c>
      <c r="C77" s="0" t="n">
        <v>107.244313750169</v>
      </c>
      <c r="D77" s="0" t="n">
        <v>231.050227259038</v>
      </c>
      <c r="E77" s="0" t="n">
        <v>74.4748678973206</v>
      </c>
      <c r="F77" s="0" t="n">
        <v>263.819673111886</v>
      </c>
      <c r="G77" s="0" t="n">
        <v>176.282991628365</v>
      </c>
      <c r="H77" s="0" t="n">
        <v>122.688953103561</v>
      </c>
      <c r="I77" s="0" t="n">
        <v>229.877030153169</v>
      </c>
      <c r="J77" s="0" t="n">
        <v>94.3179828696036</v>
      </c>
      <c r="K77" s="0" t="n">
        <v>258.248000387127</v>
      </c>
    </row>
    <row r="78" customFormat="false" ht="15" hidden="false" customHeight="false" outlineLevel="0" collapsed="false">
      <c r="A78" s="20" t="n">
        <v>48611</v>
      </c>
      <c r="B78" s="0" t="n">
        <v>169.147270504603</v>
      </c>
      <c r="C78" s="0" t="n">
        <v>106.83751701929</v>
      </c>
      <c r="D78" s="0" t="n">
        <v>231.457023989916</v>
      </c>
      <c r="E78" s="0" t="n">
        <v>73.852725985136</v>
      </c>
      <c r="F78" s="0" t="n">
        <v>264.44181502407</v>
      </c>
      <c r="G78" s="0" t="n">
        <v>176.282991493641</v>
      </c>
      <c r="H78" s="0" t="n">
        <v>122.376222872835</v>
      </c>
      <c r="I78" s="0" t="n">
        <v>230.189760114448</v>
      </c>
      <c r="J78" s="0" t="n">
        <v>93.8397033261329</v>
      </c>
      <c r="K78" s="0" t="n">
        <v>258.72627966115</v>
      </c>
    </row>
    <row r="79" customFormat="false" ht="15" hidden="false" customHeight="false" outlineLevel="0" collapsed="false">
      <c r="A79" s="20" t="n">
        <v>48639</v>
      </c>
      <c r="B79" s="0" t="n">
        <v>169.147270504603</v>
      </c>
      <c r="C79" s="0" t="n">
        <v>106.433358938989</v>
      </c>
      <c r="D79" s="0" t="n">
        <v>231.861182070217</v>
      </c>
      <c r="E79" s="0" t="n">
        <v>73.2346195407704</v>
      </c>
      <c r="F79" s="0" t="n">
        <v>265.059921468436</v>
      </c>
      <c r="G79" s="0" t="n">
        <v>176.282990773563</v>
      </c>
      <c r="H79" s="0" t="n">
        <v>122.065295821745</v>
      </c>
      <c r="I79" s="0" t="n">
        <v>230.500685725381</v>
      </c>
      <c r="J79" s="0" t="n">
        <v>93.3641818178069</v>
      </c>
      <c r="K79" s="0" t="n">
        <v>259.201799729319</v>
      </c>
    </row>
    <row r="80" customFormat="false" ht="15" hidden="false" customHeight="false" outlineLevel="0" collapsed="false">
      <c r="A80" s="20" t="n">
        <v>48670</v>
      </c>
      <c r="B80" s="0" t="n">
        <v>169.147270504603</v>
      </c>
      <c r="C80" s="0" t="n">
        <v>106.031788819689</v>
      </c>
      <c r="D80" s="0" t="n">
        <v>232.262752189517</v>
      </c>
      <c r="E80" s="0" t="n">
        <v>72.6204710412037</v>
      </c>
      <c r="F80" s="0" t="n">
        <v>265.674069968003</v>
      </c>
      <c r="G80" s="0" t="n">
        <v>176.282990794244</v>
      </c>
      <c r="H80" s="0" t="n">
        <v>121.756142463733</v>
      </c>
      <c r="I80" s="0" t="n">
        <v>230.809839124755</v>
      </c>
      <c r="J80" s="0" t="n">
        <v>92.891372546824</v>
      </c>
      <c r="K80" s="0" t="n">
        <v>259.674609041665</v>
      </c>
    </row>
    <row r="81" customFormat="false" ht="15" hidden="false" customHeight="false" outlineLevel="0" collapsed="false">
      <c r="A81" s="20" t="n">
        <v>48700</v>
      </c>
      <c r="B81" s="0" t="n">
        <v>169.147270504603</v>
      </c>
      <c r="C81" s="0" t="n">
        <v>105.632757574267</v>
      </c>
      <c r="D81" s="0" t="n">
        <v>232.66178343494</v>
      </c>
      <c r="E81" s="0" t="n">
        <v>72.0102054141619</v>
      </c>
      <c r="F81" s="0" t="n">
        <v>266.284335595044</v>
      </c>
      <c r="G81" s="0" t="n">
        <v>176.28299125654</v>
      </c>
      <c r="H81" s="0" t="n">
        <v>121.448732543179</v>
      </c>
      <c r="I81" s="0" t="n">
        <v>231.117249969901</v>
      </c>
      <c r="J81" s="0" t="n">
        <v>92.4212293995613</v>
      </c>
      <c r="K81" s="0" t="n">
        <v>260.144753113518</v>
      </c>
    </row>
    <row r="82" customFormat="false" ht="15" hidden="false" customHeight="false" outlineLevel="0" collapsed="false">
      <c r="A82" s="20" t="n">
        <v>48731</v>
      </c>
      <c r="B82" s="0" t="n">
        <v>169.147270504603</v>
      </c>
      <c r="C82" s="0" t="n">
        <v>105.23621764802</v>
      </c>
      <c r="D82" s="0" t="n">
        <v>233.058323361187</v>
      </c>
      <c r="E82" s="0" t="n">
        <v>71.4037499310023</v>
      </c>
      <c r="F82" s="0" t="n">
        <v>266.890791078204</v>
      </c>
      <c r="G82" s="0" t="n">
        <v>176.282991285342</v>
      </c>
      <c r="H82" s="0" t="n">
        <v>121.143036007888</v>
      </c>
      <c r="I82" s="0" t="n">
        <v>231.422946562796</v>
      </c>
      <c r="J82" s="0" t="n">
        <v>91.953706878411</v>
      </c>
      <c r="K82" s="0" t="n">
        <v>260.612275692273</v>
      </c>
    </row>
    <row r="83" customFormat="false" ht="15" hidden="false" customHeight="false" outlineLevel="0" collapsed="false">
      <c r="A83" s="20" t="n">
        <v>48761</v>
      </c>
      <c r="B83" s="0" t="n">
        <v>169.147270504603</v>
      </c>
      <c r="C83" s="0" t="n">
        <v>104.842122952513</v>
      </c>
      <c r="D83" s="0" t="n">
        <v>233.452418056694</v>
      </c>
      <c r="E83" s="0" t="n">
        <v>70.801034105546</v>
      </c>
      <c r="F83" s="0" t="n">
        <v>267.49350690366</v>
      </c>
      <c r="G83" s="0" t="n">
        <v>176.28299099237</v>
      </c>
      <c r="H83" s="0" t="n">
        <v>120.83902459969</v>
      </c>
      <c r="I83" s="0" t="n">
        <v>231.726957385051</v>
      </c>
      <c r="J83" s="0" t="n">
        <v>91.4887617070869</v>
      </c>
      <c r="K83" s="0" t="n">
        <v>261.077220277654</v>
      </c>
    </row>
    <row r="84" customFormat="false" ht="15" hidden="false" customHeight="false" outlineLevel="0" collapsed="false">
      <c r="A84" s="20" t="n">
        <v>48792</v>
      </c>
      <c r="B84" s="0" t="n">
        <v>169.147270504603</v>
      </c>
      <c r="C84" s="0" t="n">
        <v>104.450428803055</v>
      </c>
      <c r="D84" s="0" t="n">
        <v>233.844112206152</v>
      </c>
      <c r="E84" s="0" t="n">
        <v>70.2019895984551</v>
      </c>
      <c r="F84" s="0" t="n">
        <v>268.092551410751</v>
      </c>
      <c r="G84" s="0" t="n">
        <v>176.282990947321</v>
      </c>
      <c r="H84" s="0" t="n">
        <v>120.53667132744</v>
      </c>
      <c r="I84" s="0" t="n">
        <v>232.029310567203</v>
      </c>
      <c r="J84" s="0" t="n">
        <v>91.0263523046182</v>
      </c>
      <c r="K84" s="0" t="n">
        <v>261.539629590024</v>
      </c>
    </row>
    <row r="85" customFormat="false" ht="15" hidden="false" customHeight="false" outlineLevel="0" collapsed="false">
      <c r="A85" s="20" t="n">
        <v>48823</v>
      </c>
      <c r="B85" s="0" t="n">
        <v>169.147270504603</v>
      </c>
      <c r="C85" s="0" t="n">
        <v>104.061091859561</v>
      </c>
      <c r="D85" s="0" t="n">
        <v>234.233449149645</v>
      </c>
      <c r="E85" s="0" t="n">
        <v>69.6065501267907</v>
      </c>
      <c r="F85" s="0" t="n">
        <v>268.687990882416</v>
      </c>
      <c r="G85" s="0" t="n">
        <v>176.282991130551</v>
      </c>
      <c r="H85" s="0" t="n">
        <v>120.235949355488</v>
      </c>
      <c r="I85" s="0" t="n">
        <v>232.330032905614</v>
      </c>
      <c r="J85" s="0" t="n">
        <v>90.5664376398183</v>
      </c>
      <c r="K85" s="0" t="n">
        <v>261.999544621283</v>
      </c>
    </row>
    <row r="86" customFormat="false" ht="15" hidden="false" customHeight="false" outlineLevel="0" collapsed="false">
      <c r="A86" s="20" t="n">
        <v>48853</v>
      </c>
      <c r="B86" s="0" t="n">
        <v>169.147270504603</v>
      </c>
      <c r="C86" s="0" t="n">
        <v>103.674070070582</v>
      </c>
      <c r="D86" s="0" t="n">
        <v>234.620470938624</v>
      </c>
      <c r="E86" s="0" t="n">
        <v>69.0146513784106</v>
      </c>
      <c r="F86" s="0" t="n">
        <v>269.279889630796</v>
      </c>
      <c r="G86" s="0" t="n">
        <v>176.282991176012</v>
      </c>
      <c r="H86" s="0" t="n">
        <v>119.936832195072</v>
      </c>
      <c r="I86" s="0" t="n">
        <v>232.629150156952</v>
      </c>
      <c r="J86" s="0" t="n">
        <v>90.1089773953961</v>
      </c>
      <c r="K86" s="0" t="n">
        <v>262.457004956628</v>
      </c>
    </row>
    <row r="87" customFormat="false" ht="15" hidden="false" customHeight="false" outlineLevel="0" collapsed="false">
      <c r="A87" s="20" t="n">
        <v>48884</v>
      </c>
      <c r="B87" s="0" t="n">
        <v>169.147270504603</v>
      </c>
      <c r="C87" s="0" t="n">
        <v>103.289322620292</v>
      </c>
      <c r="D87" s="0" t="n">
        <v>235.005218388914</v>
      </c>
      <c r="E87" s="0" t="n">
        <v>68.4262309308951</v>
      </c>
      <c r="F87" s="0" t="n">
        <v>269.868310078311</v>
      </c>
      <c r="G87" s="0" t="n">
        <v>176.282991062988</v>
      </c>
      <c r="H87" s="0" t="n">
        <v>119.639294389587</v>
      </c>
      <c r="I87" s="0" t="n">
        <v>232.92668773639</v>
      </c>
      <c r="J87" s="0" t="n">
        <v>89.6539326497982</v>
      </c>
      <c r="K87" s="0" t="n">
        <v>262.912049476179</v>
      </c>
    </row>
    <row r="88" customFormat="false" ht="15" hidden="false" customHeight="false" outlineLevel="0" collapsed="false">
      <c r="A88" s="20" t="n">
        <v>48914</v>
      </c>
      <c r="B88" s="0" t="n">
        <v>169.147270504603</v>
      </c>
      <c r="C88" s="0" t="n">
        <v>102.906809878248</v>
      </c>
      <c r="D88" s="0" t="n">
        <v>235.387731130959</v>
      </c>
      <c r="E88" s="0" t="n">
        <v>67.8412281747117</v>
      </c>
      <c r="F88" s="0" t="n">
        <v>270.453312834495</v>
      </c>
      <c r="G88" s="0" t="n">
        <v>176.282991023646</v>
      </c>
      <c r="H88" s="0" t="n">
        <v>119.343311413745</v>
      </c>
      <c r="I88" s="0" t="n">
        <v>233.222670633547</v>
      </c>
      <c r="J88" s="0" t="n">
        <v>89.2012657719352</v>
      </c>
      <c r="K88" s="0" t="n">
        <v>263.364716275357</v>
      </c>
    </row>
    <row r="89" customFormat="false" ht="15" hidden="false" customHeight="false" outlineLevel="0" collapsed="false">
      <c r="A89" s="20" t="n">
        <v>48945</v>
      </c>
      <c r="B89" s="0" t="n">
        <v>169.147270504603</v>
      </c>
      <c r="C89" s="0" t="n">
        <v>102.526493351744</v>
      </c>
      <c r="D89" s="0" t="n">
        <v>235.768047657462</v>
      </c>
      <c r="E89" s="0" t="n">
        <v>67.2595842403491</v>
      </c>
      <c r="F89" s="0" t="n">
        <v>271.034956768857</v>
      </c>
      <c r="G89" s="0" t="n">
        <v>176.282991092336</v>
      </c>
      <c r="H89" s="0" t="n">
        <v>119.048859187712</v>
      </c>
      <c r="I89" s="0" t="n">
        <v>233.517122996961</v>
      </c>
      <c r="J89" s="0" t="n">
        <v>88.7509399166904</v>
      </c>
      <c r="K89" s="0" t="n">
        <v>263.815042267983</v>
      </c>
    </row>
    <row r="90" customFormat="false" ht="15" hidden="false" customHeight="false" outlineLevel="0" collapsed="false">
      <c r="A90" s="20" t="n">
        <v>48976</v>
      </c>
      <c r="B90" s="0" t="n">
        <v>169.147270504603</v>
      </c>
      <c r="C90" s="0" t="n">
        <v>102.148335640607</v>
      </c>
      <c r="D90" s="0" t="n">
        <v>236.146205368599</v>
      </c>
      <c r="E90" s="0" t="n">
        <v>66.6812419291754</v>
      </c>
      <c r="F90" s="0" t="n">
        <v>271.613299080031</v>
      </c>
      <c r="G90" s="0" t="n">
        <v>176.282991123736</v>
      </c>
      <c r="H90" s="0" t="n">
        <v>118.755914060637</v>
      </c>
      <c r="I90" s="0" t="n">
        <v>233.810068186836</v>
      </c>
      <c r="J90" s="0" t="n">
        <v>88.3029189901417</v>
      </c>
      <c r="K90" s="0" t="n">
        <v>264.263063257331</v>
      </c>
    </row>
    <row r="91" customFormat="false" ht="15" hidden="false" customHeight="false" outlineLevel="0" collapsed="false">
      <c r="A91" s="20" t="n">
        <v>49004</v>
      </c>
      <c r="B91" s="0" t="n">
        <v>169.147270504603</v>
      </c>
      <c r="C91" s="0" t="n">
        <v>101.772300394264</v>
      </c>
      <c r="D91" s="0" t="n">
        <v>236.522240614942</v>
      </c>
      <c r="E91" s="0" t="n">
        <v>66.1061456477885</v>
      </c>
      <c r="F91" s="0" t="n">
        <v>272.188395361418</v>
      </c>
      <c r="G91" s="0" t="n">
        <v>176.28299108267</v>
      </c>
      <c r="H91" s="0" t="n">
        <v>118.46445308457</v>
      </c>
      <c r="I91" s="0" t="n">
        <v>234.101529080771</v>
      </c>
      <c r="J91" s="0" t="n">
        <v>87.8571679150468</v>
      </c>
      <c r="K91" s="0" t="n">
        <v>264.708814250294</v>
      </c>
    </row>
    <row r="92" customFormat="false" ht="15" hidden="false" customHeight="false" outlineLevel="0" collapsed="false">
      <c r="A92" s="20" t="n">
        <v>49035</v>
      </c>
      <c r="B92" s="0" t="n">
        <v>169.147270504603</v>
      </c>
      <c r="C92" s="0" t="n">
        <v>101.398352270965</v>
      </c>
      <c r="D92" s="0" t="n">
        <v>236.896188738242</v>
      </c>
      <c r="E92" s="0" t="n">
        <v>65.5342413456457</v>
      </c>
      <c r="F92" s="0" t="n">
        <v>272.760299663561</v>
      </c>
      <c r="G92" s="0" t="n">
        <v>176.28299105886</v>
      </c>
      <c r="H92" s="0" t="n">
        <v>118.17445401622</v>
      </c>
      <c r="I92" s="0" t="n">
        <v>234.391528101501</v>
      </c>
      <c r="J92" s="0" t="n">
        <v>87.413652625733</v>
      </c>
      <c r="K92" s="0" t="n">
        <v>265.152329491988</v>
      </c>
    </row>
    <row r="93" customFormat="false" ht="15" hidden="false" customHeight="false" outlineLevel="0" collapsed="false">
      <c r="A93" s="20" t="n">
        <v>49065</v>
      </c>
      <c r="B93" s="0" t="n">
        <v>169.147270504603</v>
      </c>
      <c r="C93" s="0" t="n">
        <v>101.026456899014</v>
      </c>
      <c r="D93" s="0" t="n">
        <v>237.268084110192</v>
      </c>
      <c r="E93" s="0" t="n">
        <v>64.9654764557758</v>
      </c>
      <c r="F93" s="0" t="n">
        <v>273.329064553431</v>
      </c>
      <c r="G93" s="0" t="n">
        <v>176.282991082953</v>
      </c>
      <c r="H93" s="0" t="n">
        <v>117.885895109946</v>
      </c>
      <c r="I93" s="0" t="n">
        <v>234.68008705596</v>
      </c>
      <c r="J93" s="0" t="n">
        <v>86.9723398488894</v>
      </c>
      <c r="K93" s="0" t="n">
        <v>265.593642317017</v>
      </c>
    </row>
    <row r="94" customFormat="false" ht="15" hidden="false" customHeight="false" outlineLevel="0" collapsed="false">
      <c r="A94" s="20" t="n">
        <v>49096</v>
      </c>
      <c r="B94" s="0" t="n">
        <v>169.147270504603</v>
      </c>
      <c r="C94" s="0" t="n">
        <v>100.656580839901</v>
      </c>
      <c r="D94" s="0" t="n">
        <v>237.637960169305</v>
      </c>
      <c r="E94" s="0" t="n">
        <v>64.3997998383881</v>
      </c>
      <c r="F94" s="0" t="n">
        <v>273.894741170818</v>
      </c>
      <c r="G94" s="0" t="n">
        <v>176.282991100367</v>
      </c>
      <c r="H94" s="0" t="n">
        <v>117.598755067225</v>
      </c>
      <c r="I94" s="0" t="n">
        <v>234.967227133509</v>
      </c>
      <c r="J94" s="0" t="n">
        <v>86.5331970401274</v>
      </c>
      <c r="K94" s="0" t="n">
        <v>266.032785160607</v>
      </c>
    </row>
    <row r="95" customFormat="false" ht="15" hidden="false" customHeight="false" outlineLevel="0" collapsed="false">
      <c r="A95" s="20" t="n">
        <v>49126</v>
      </c>
      <c r="B95" s="0" t="n">
        <v>169.147270504603</v>
      </c>
      <c r="C95" s="0" t="n">
        <v>100.288691553207</v>
      </c>
      <c r="D95" s="0" t="n">
        <v>238.005849455999</v>
      </c>
      <c r="E95" s="0" t="n">
        <v>63.8371617272076</v>
      </c>
      <c r="F95" s="0" t="n">
        <v>274.457379281999</v>
      </c>
      <c r="G95" s="0" t="n">
        <v>176.282991086546</v>
      </c>
      <c r="H95" s="0" t="n">
        <v>117.313013135111</v>
      </c>
      <c r="I95" s="0" t="n">
        <v>235.25296903798</v>
      </c>
      <c r="J95" s="0" t="n">
        <v>86.0961924735558</v>
      </c>
      <c r="K95" s="0" t="n">
        <v>266.469789699535</v>
      </c>
    </row>
    <row r="96" customFormat="false" ht="15" hidden="false" customHeight="false" outlineLevel="0" collapsed="false">
      <c r="A96" s="20" t="n">
        <v>49157</v>
      </c>
      <c r="B96" s="0" t="n">
        <v>169.147270504603</v>
      </c>
      <c r="C96" s="0" t="n">
        <v>99.9227573631969</v>
      </c>
      <c r="D96" s="0" t="n">
        <v>238.371783646009</v>
      </c>
      <c r="E96" s="0" t="n">
        <v>63.2775136783773</v>
      </c>
      <c r="F96" s="0" t="n">
        <v>275.017027330829</v>
      </c>
      <c r="G96" s="0" t="n">
        <v>176.282991074155</v>
      </c>
      <c r="H96" s="0" t="n">
        <v>117.02864911946</v>
      </c>
      <c r="I96" s="0" t="n">
        <v>235.537333028849</v>
      </c>
      <c r="J96" s="0" t="n">
        <v>85.6612952476048</v>
      </c>
      <c r="K96" s="0" t="n">
        <v>266.904686900704</v>
      </c>
    </row>
    <row r="97" customFormat="false" ht="15" hidden="false" customHeight="false" outlineLevel="0" collapsed="false">
      <c r="A97" s="20" t="n">
        <v>49188</v>
      </c>
      <c r="B97" s="0" t="n">
        <v>169.147270504603</v>
      </c>
      <c r="C97" s="0" t="n">
        <v>99.5587474269875</v>
      </c>
      <c r="D97" s="0" t="n">
        <v>238.735793582219</v>
      </c>
      <c r="E97" s="0" t="n">
        <v>62.7208085217791</v>
      </c>
      <c r="F97" s="0" t="n">
        <v>275.573732487427</v>
      </c>
      <c r="G97" s="0" t="n">
        <v>176.282991081866</v>
      </c>
      <c r="H97" s="0" t="n">
        <v>116.745643296394</v>
      </c>
      <c r="I97" s="0" t="n">
        <v>235.820338867338</v>
      </c>
      <c r="J97" s="0" t="n">
        <v>85.2284751873199</v>
      </c>
      <c r="K97" s="0" t="n">
        <v>267.337506976411</v>
      </c>
    </row>
    <row r="98" customFormat="false" ht="15" hidden="false" customHeight="false" outlineLevel="0" collapsed="false">
      <c r="A98" s="20" t="n">
        <v>49218</v>
      </c>
      <c r="B98" s="0" t="n">
        <v>169.147270504603</v>
      </c>
      <c r="C98" s="0" t="n">
        <v>99.1966317042107</v>
      </c>
      <c r="D98" s="0" t="n">
        <v>239.097909304996</v>
      </c>
      <c r="E98" s="0" t="n">
        <v>62.167000314634</v>
      </c>
      <c r="F98" s="0" t="n">
        <v>276.127540694572</v>
      </c>
      <c r="G98" s="0" t="n">
        <v>176.28299109049</v>
      </c>
      <c r="H98" s="0" t="n">
        <v>116.463976370172</v>
      </c>
      <c r="I98" s="0" t="n">
        <v>236.102005810807</v>
      </c>
      <c r="J98" s="0" t="n">
        <v>84.7977027925729</v>
      </c>
      <c r="K98" s="0" t="n">
        <v>267.768279388406</v>
      </c>
    </row>
    <row r="99" customFormat="false" ht="15" hidden="false" customHeight="false" outlineLevel="0" collapsed="false">
      <c r="A99" s="20" t="n">
        <v>49249</v>
      </c>
      <c r="B99" s="0" t="n">
        <v>169.147270504603</v>
      </c>
      <c r="C99" s="0" t="n">
        <v>98.8363809280795</v>
      </c>
      <c r="D99" s="0" t="n">
        <v>239.458160081127</v>
      </c>
      <c r="E99" s="0" t="n">
        <v>61.616044297254</v>
      </c>
      <c r="F99" s="0" t="n">
        <v>276.678496711952</v>
      </c>
      <c r="G99" s="0" t="n">
        <v>176.282991086343</v>
      </c>
      <c r="H99" s="0" t="n">
        <v>116.183629501422</v>
      </c>
      <c r="I99" s="0" t="n">
        <v>236.382352671264</v>
      </c>
      <c r="J99" s="0" t="n">
        <v>84.3689492582727</v>
      </c>
      <c r="K99" s="0" t="n">
        <v>268.197032914413</v>
      </c>
    </row>
    <row r="100" customFormat="false" ht="15" hidden="false" customHeight="false" outlineLevel="0" collapsed="false">
      <c r="A100" s="20" t="n">
        <v>49279</v>
      </c>
      <c r="B100" s="0" t="n">
        <v>169.147270504603</v>
      </c>
      <c r="C100" s="0" t="n">
        <v>98.4779665777834</v>
      </c>
      <c r="D100" s="0" t="n">
        <v>239.816574431423</v>
      </c>
      <c r="E100" s="0" t="n">
        <v>61.0678968508231</v>
      </c>
      <c r="F100" s="0" t="n">
        <v>277.226644158383</v>
      </c>
      <c r="G100" s="0" t="n">
        <v>176.282991080452</v>
      </c>
      <c r="H100" s="0" t="n">
        <v>115.904584313106</v>
      </c>
      <c r="I100" s="0" t="n">
        <v>236.661397847798</v>
      </c>
      <c r="J100" s="0" t="n">
        <v>83.942186473328</v>
      </c>
      <c r="K100" s="0" t="n">
        <v>268.623795687576</v>
      </c>
    </row>
    <row r="101" customFormat="false" ht="15" hidden="false" customHeight="false" outlineLevel="0" collapsed="false">
      <c r="A101" s="20" t="n">
        <v>49310</v>
      </c>
      <c r="B101" s="0" t="n">
        <v>169.147270504603</v>
      </c>
      <c r="C101" s="0" t="n">
        <v>98.1213608521365</v>
      </c>
      <c r="D101" s="0" t="n">
        <v>240.17318015707</v>
      </c>
      <c r="E101" s="0" t="n">
        <v>60.522515457097</v>
      </c>
      <c r="F101" s="0" t="n">
        <v>277.772025552109</v>
      </c>
      <c r="G101" s="0" t="n">
        <v>176.282991082568</v>
      </c>
      <c r="H101" s="0" t="n">
        <v>115.626822850478</v>
      </c>
      <c r="I101" s="0" t="n">
        <v>236.939159314657</v>
      </c>
      <c r="J101" s="0" t="n">
        <v>83.5173869731632</v>
      </c>
      <c r="K101" s="0" t="n">
        <v>269.048595191972</v>
      </c>
    </row>
    <row r="102" customFormat="false" ht="15" hidden="false" customHeight="false" outlineLevel="0" collapsed="false">
      <c r="A102" s="20" t="n">
        <v>49341</v>
      </c>
      <c r="B102" s="0" t="n">
        <v>169.147270504603</v>
      </c>
      <c r="C102" s="0" t="n">
        <v>97.7665366444118</v>
      </c>
      <c r="D102" s="0" t="n">
        <v>240.528004364795</v>
      </c>
      <c r="E102" s="0" t="n">
        <v>59.9798586599138</v>
      </c>
      <c r="F102" s="0" t="n">
        <v>278.314682349293</v>
      </c>
      <c r="G102" s="0" t="n">
        <v>176.282991086527</v>
      </c>
      <c r="H102" s="0" t="n">
        <v>115.350327552034</v>
      </c>
      <c r="I102" s="0" t="n">
        <v>237.21565462102</v>
      </c>
      <c r="J102" s="0" t="n">
        <v>83.0945239030365</v>
      </c>
      <c r="K102" s="0" t="n">
        <v>269.471458270017</v>
      </c>
    </row>
    <row r="103" customFormat="false" ht="15" hidden="false" customHeight="false" outlineLevel="0" collapsed="false">
      <c r="A103" s="20" t="n">
        <v>49369</v>
      </c>
      <c r="B103" s="0" t="n">
        <v>169.147270504603</v>
      </c>
      <c r="C103" s="0" t="n">
        <v>97.4134675182941</v>
      </c>
      <c r="D103" s="0" t="n">
        <v>240.881073490912</v>
      </c>
      <c r="E103" s="0" t="n">
        <v>59.4398860284189</v>
      </c>
      <c r="F103" s="0" t="n">
        <v>278.854654980787</v>
      </c>
      <c r="G103" s="0" t="n">
        <v>176.282991085534</v>
      </c>
      <c r="H103" s="0" t="n">
        <v>115.075081251749</v>
      </c>
      <c r="I103" s="0" t="n">
        <v>237.490900919319</v>
      </c>
      <c r="J103" s="0" t="n">
        <v>82.6735710133776</v>
      </c>
      <c r="K103" s="0" t="n">
        <v>269.89241115769</v>
      </c>
    </row>
    <row r="104" customFormat="false" ht="15" hidden="false" customHeight="false" outlineLevel="0" collapsed="false">
      <c r="A104" s="20" t="n">
        <v>49400</v>
      </c>
      <c r="B104" s="0" t="n">
        <v>169.147270504603</v>
      </c>
      <c r="C104" s="0" t="n">
        <v>97.062127684895</v>
      </c>
      <c r="D104" s="0" t="n">
        <v>241.232413324311</v>
      </c>
      <c r="E104" s="0" t="n">
        <v>58.9025581219105</v>
      </c>
      <c r="F104" s="0" t="n">
        <v>279.391982887296</v>
      </c>
      <c r="G104" s="0" t="n">
        <v>176.282991082912</v>
      </c>
      <c r="H104" s="0" t="n">
        <v>114.801067177976</v>
      </c>
      <c r="I104" s="0" t="n">
        <v>237.764914987848</v>
      </c>
      <c r="J104" s="0" t="n">
        <v>82.2545026524071</v>
      </c>
      <c r="K104" s="0" t="n">
        <v>270.311479513417</v>
      </c>
    </row>
    <row r="105" customFormat="false" ht="15" hidden="false" customHeight="false" outlineLevel="0" collapsed="false">
      <c r="A105" s="20" t="n">
        <v>49430</v>
      </c>
      <c r="B105" s="0" t="n">
        <v>169.147270504603</v>
      </c>
      <c r="C105" s="0" t="n">
        <v>96.7124919807694</v>
      </c>
      <c r="D105" s="0" t="n">
        <v>241.582049028437</v>
      </c>
      <c r="E105" s="0" t="n">
        <v>58.3678364562206</v>
      </c>
      <c r="F105" s="0" t="n">
        <v>279.926704552986</v>
      </c>
      <c r="G105" s="0" t="n">
        <v>176.282991083309</v>
      </c>
      <c r="H105" s="0" t="n">
        <v>114.528268932833</v>
      </c>
      <c r="I105" s="0" t="n">
        <v>238.037713233784</v>
      </c>
      <c r="J105" s="0" t="n">
        <v>81.8372937392657</v>
      </c>
      <c r="K105" s="0" t="n">
        <v>270.728688427352</v>
      </c>
    </row>
    <row r="106" customFormat="false" ht="15" hidden="false" customHeight="false" outlineLevel="0" collapsed="false">
      <c r="A106" s="20" t="n">
        <v>49461</v>
      </c>
      <c r="B106" s="0" t="n">
        <v>169.147270504603</v>
      </c>
      <c r="C106" s="0" t="n">
        <v>96.3645358468839</v>
      </c>
      <c r="D106" s="0" t="n">
        <v>241.930005162322</v>
      </c>
      <c r="E106" s="0" t="n">
        <v>57.8356834715488</v>
      </c>
      <c r="F106" s="0" t="n">
        <v>280.458857537658</v>
      </c>
      <c r="G106" s="0" t="n">
        <v>176.282991085021</v>
      </c>
      <c r="H106" s="0" t="n">
        <v>114.256670472715</v>
      </c>
      <c r="I106" s="0" t="n">
        <v>238.309311697327</v>
      </c>
      <c r="J106" s="0" t="n">
        <v>81.4219197382796</v>
      </c>
      <c r="K106" s="0" t="n">
        <v>271.144062431762</v>
      </c>
    </row>
    <row r="107" customFormat="false" ht="15" hidden="false" customHeight="false" outlineLevel="0" collapsed="false">
      <c r="A107" s="20" t="n">
        <v>49491</v>
      </c>
      <c r="B107" s="0" t="n">
        <v>169.147270504603</v>
      </c>
      <c r="C107" s="0" t="n">
        <v>96.018235308485</v>
      </c>
      <c r="D107" s="0" t="n">
        <v>242.276305700721</v>
      </c>
      <c r="E107" s="0" t="n">
        <v>57.3060625016737</v>
      </c>
      <c r="F107" s="0" t="n">
        <v>280.988478507533</v>
      </c>
      <c r="G107" s="0" t="n">
        <v>176.282991084923</v>
      </c>
      <c r="H107" s="0" t="n">
        <v>113.986256102112</v>
      </c>
      <c r="I107" s="0" t="n">
        <v>238.579726067734</v>
      </c>
      <c r="J107" s="0" t="n">
        <v>81.008356646894</v>
      </c>
      <c r="K107" s="0" t="n">
        <v>271.557625522952</v>
      </c>
    </row>
    <row r="108" customFormat="false" ht="15" hidden="false" customHeight="false" outlineLevel="0" collapsed="false">
      <c r="A108" s="20" t="n">
        <v>49522</v>
      </c>
      <c r="B108" s="0" t="n">
        <v>169.147270504603</v>
      </c>
      <c r="C108" s="0" t="n">
        <v>95.6735669558217</v>
      </c>
      <c r="D108" s="0" t="n">
        <v>242.620974053385</v>
      </c>
      <c r="E108" s="0" t="n">
        <v>56.7789377444708</v>
      </c>
      <c r="F108" s="0" t="n">
        <v>281.515603264736</v>
      </c>
      <c r="G108" s="0" t="n">
        <v>176.282991083819</v>
      </c>
      <c r="H108" s="0" t="n">
        <v>113.717010468599</v>
      </c>
      <c r="I108" s="0" t="n">
        <v>238.84897169904</v>
      </c>
      <c r="J108" s="0" t="n">
        <v>80.5965809851723</v>
      </c>
      <c r="K108" s="0" t="n">
        <v>271.969401182467</v>
      </c>
    </row>
    <row r="109" customFormat="false" ht="15" hidden="false" customHeight="false" outlineLevel="0" collapsed="false">
      <c r="A109" s="20" t="n">
        <v>49553</v>
      </c>
      <c r="B109" s="0" t="n">
        <v>169.147270504603</v>
      </c>
      <c r="C109" s="0" t="n">
        <v>95.3305079256784</v>
      </c>
      <c r="D109" s="0" t="n">
        <v>242.964033083528</v>
      </c>
      <c r="E109" s="0" t="n">
        <v>56.254274233669</v>
      </c>
      <c r="F109" s="0" t="n">
        <v>282.040266775537</v>
      </c>
      <c r="G109" s="0" t="n">
        <v>176.282991083782</v>
      </c>
      <c r="H109" s="0" t="n">
        <v>113.448918550079</v>
      </c>
      <c r="I109" s="0" t="n">
        <v>239.117063617484</v>
      </c>
      <c r="J109" s="0" t="n">
        <v>80.1865697777061</v>
      </c>
      <c r="K109" s="0" t="n">
        <v>272.379412389857</v>
      </c>
    </row>
    <row r="110" customFormat="false" ht="15" hidden="false" customHeight="false" outlineLevel="0" collapsed="false">
      <c r="A110" s="20" t="n">
        <v>49583</v>
      </c>
      <c r="B110" s="0" t="n">
        <v>169.147270504603</v>
      </c>
      <c r="C110" s="0" t="n">
        <v>94.9890358836761</v>
      </c>
      <c r="D110" s="0" t="n">
        <v>243.30550512553</v>
      </c>
      <c r="E110" s="0" t="n">
        <v>55.7320378117834</v>
      </c>
      <c r="F110" s="0" t="n">
        <v>282.562503197423</v>
      </c>
      <c r="G110" s="0" t="n">
        <v>176.282991084484</v>
      </c>
      <c r="H110" s="0" t="n">
        <v>113.181965641214</v>
      </c>
      <c r="I110" s="0" t="n">
        <v>239.384016527754</v>
      </c>
      <c r="J110" s="0" t="n">
        <v>79.778300534792</v>
      </c>
      <c r="K110" s="0" t="n">
        <v>272.787681634176</v>
      </c>
    </row>
    <row r="111" customFormat="false" ht="15" hidden="false" customHeight="false" outlineLevel="0" collapsed="false">
      <c r="A111" s="20" t="n">
        <v>49614</v>
      </c>
      <c r="B111" s="0" t="n">
        <v>169.147270504603</v>
      </c>
      <c r="C111" s="0" t="n">
        <v>94.6491290073041</v>
      </c>
      <c r="D111" s="0" t="n">
        <v>243.645412001902</v>
      </c>
      <c r="E111" s="0" t="n">
        <v>55.212195104164</v>
      </c>
      <c r="F111" s="0" t="n">
        <v>283.082345905042</v>
      </c>
      <c r="G111" s="0" t="n">
        <v>176.282991084572</v>
      </c>
      <c r="H111" s="0" t="n">
        <v>112.916137345311</v>
      </c>
      <c r="I111" s="0" t="n">
        <v>239.649844823833</v>
      </c>
      <c r="J111" s="0" t="n">
        <v>79.3717512393062</v>
      </c>
      <c r="K111" s="0" t="n">
        <v>273.194230929838</v>
      </c>
    </row>
    <row r="112" customFormat="false" ht="15" hidden="false" customHeight="false" outlineLevel="0" collapsed="false">
      <c r="A112" s="20" t="n">
        <v>49644</v>
      </c>
      <c r="B112" s="0" t="n">
        <v>169.147270504603</v>
      </c>
      <c r="C112" s="0" t="n">
        <v>94.3107659696457</v>
      </c>
      <c r="D112" s="0" t="n">
        <v>243.983775039561</v>
      </c>
      <c r="E112" s="0" t="n">
        <v>54.6947134941062</v>
      </c>
      <c r="F112" s="0" t="n">
        <v>283.5998275151</v>
      </c>
      <c r="G112" s="0" t="n">
        <v>176.282991084131</v>
      </c>
      <c r="H112" s="0" t="n">
        <v>112.651419567811</v>
      </c>
      <c r="I112" s="0" t="n">
        <v>239.914562600451</v>
      </c>
      <c r="J112" s="0" t="n">
        <v>78.966900335435</v>
      </c>
      <c r="K112" s="0" t="n">
        <v>273.599081832827</v>
      </c>
    </row>
    <row r="113" customFormat="false" ht="15" hidden="false" customHeight="false" outlineLevel="0" collapsed="false">
      <c r="A113" s="20" t="n">
        <v>49675</v>
      </c>
      <c r="B113" s="0" t="n">
        <v>169.147270504603</v>
      </c>
      <c r="C113" s="0" t="n">
        <v>93.9739259237623</v>
      </c>
      <c r="D113" s="0" t="n">
        <v>244.320615085444</v>
      </c>
      <c r="E113" s="0" t="n">
        <v>54.1795610989689</v>
      </c>
      <c r="F113" s="0" t="n">
        <v>284.114979910237</v>
      </c>
      <c r="G113" s="0" t="n">
        <v>176.282991084035</v>
      </c>
      <c r="H113" s="0" t="n">
        <v>112.387798506963</v>
      </c>
      <c r="I113" s="0" t="n">
        <v>240.178183661106</v>
      </c>
      <c r="J113" s="0" t="n">
        <v>78.5637267147595</v>
      </c>
      <c r="K113" s="0" t="n">
        <v>274.00225545331</v>
      </c>
    </row>
    <row r="114" customFormat="false" ht="15" hidden="false" customHeight="false" outlineLevel="0" collapsed="false">
      <c r="A114" s="20" t="n">
        <v>49706</v>
      </c>
      <c r="B114" s="0" t="n">
        <v>169.147270504603</v>
      </c>
      <c r="C114" s="0" t="n">
        <v>93.6385884877055</v>
      </c>
      <c r="D114" s="0" t="n">
        <v>244.655952521501</v>
      </c>
      <c r="E114" s="0" t="n">
        <v>53.6667067472519</v>
      </c>
      <c r="F114" s="0" t="n">
        <v>284.627834261954</v>
      </c>
      <c r="G114" s="0" t="n">
        <v>176.282991084308</v>
      </c>
      <c r="H114" s="0" t="n">
        <v>112.125260643746</v>
      </c>
      <c r="I114" s="0" t="n">
        <v>240.440721524869</v>
      </c>
      <c r="J114" s="0" t="n">
        <v>78.1622097017085</v>
      </c>
      <c r="K114" s="0" t="n">
        <v>274.403772466907</v>
      </c>
    </row>
    <row r="115" customFormat="false" ht="15" hidden="false" customHeight="false" outlineLevel="0" collapsed="false">
      <c r="A115" s="20" t="n">
        <v>49735</v>
      </c>
      <c r="B115" s="0" t="n">
        <v>169.147270504603</v>
      </c>
      <c r="C115" s="0" t="n">
        <v>93.3047337301249</v>
      </c>
      <c r="D115" s="0" t="n">
        <v>244.989807279081</v>
      </c>
      <c r="E115" s="0" t="n">
        <v>53.1561199565852</v>
      </c>
      <c r="F115" s="0" t="n">
        <v>285.138421052621</v>
      </c>
      <c r="G115" s="0" t="n">
        <v>176.282991084394</v>
      </c>
      <c r="H115" s="0" t="n">
        <v>111.863792734013</v>
      </c>
      <c r="I115" s="0" t="n">
        <v>240.702189434775</v>
      </c>
      <c r="J115" s="0" t="n">
        <v>77.7623290414008</v>
      </c>
      <c r="K115" s="0" t="n">
        <v>274.803653127388</v>
      </c>
    </row>
    <row r="116" customFormat="false" ht="15" hidden="false" customHeight="false" outlineLevel="0" collapsed="false">
      <c r="A116" s="20" t="n">
        <v>49766</v>
      </c>
      <c r="B116" s="0" t="n">
        <v>169.147270504603</v>
      </c>
      <c r="C116" s="0" t="n">
        <v>92.9723421564438</v>
      </c>
      <c r="D116" s="0" t="n">
        <v>245.322198852763</v>
      </c>
      <c r="E116" s="0" t="n">
        <v>52.6477709125865</v>
      </c>
      <c r="F116" s="0" t="n">
        <v>285.64677009662</v>
      </c>
      <c r="G116" s="0" t="n">
        <v>176.282991084227</v>
      </c>
      <c r="H116" s="0" t="n">
        <v>111.60338180179</v>
      </c>
      <c r="I116" s="0" t="n">
        <v>240.962600366665</v>
      </c>
      <c r="J116" s="0" t="n">
        <v>77.3640648888315</v>
      </c>
      <c r="K116" s="0" t="n">
        <v>275.201917279623</v>
      </c>
    </row>
    <row r="117" customFormat="false" ht="15" hidden="false" customHeight="false" outlineLevel="0" collapsed="false">
      <c r="A117" s="20" t="n">
        <v>49796</v>
      </c>
      <c r="B117" s="0" t="n">
        <v>169.147270504603</v>
      </c>
      <c r="C117" s="0" t="n">
        <v>92.6413946955757</v>
      </c>
      <c r="D117" s="0" t="n">
        <v>245.653146313631</v>
      </c>
      <c r="E117" s="0" t="n">
        <v>52.1416304485461</v>
      </c>
      <c r="F117" s="0" t="n">
        <v>286.15291056066</v>
      </c>
      <c r="G117" s="0" t="n">
        <v>176.282991084157</v>
      </c>
      <c r="H117" s="0" t="n">
        <v>111.34401513171</v>
      </c>
      <c r="I117" s="0" t="n">
        <v>241.221967036604</v>
      </c>
      <c r="J117" s="0" t="n">
        <v>76.9673977973425</v>
      </c>
      <c r="K117" s="0" t="n">
        <v>275.598584370972</v>
      </c>
    </row>
    <row r="118" customFormat="false" ht="15" hidden="false" customHeight="false" outlineLevel="0" collapsed="false">
      <c r="A118" s="20" t="n">
        <v>49827</v>
      </c>
      <c r="B118" s="0" t="n">
        <v>169.147270504603</v>
      </c>
      <c r="C118" s="0" t="n">
        <v>92.3118726871554</v>
      </c>
      <c r="D118" s="0" t="n">
        <v>245.982668322051</v>
      </c>
      <c r="E118" s="0" t="n">
        <v>51.6376700258981</v>
      </c>
      <c r="F118" s="0" t="n">
        <v>286.656870983308</v>
      </c>
      <c r="G118" s="0" t="n">
        <v>176.282991084257</v>
      </c>
      <c r="H118" s="0" t="n">
        <v>111.085680261069</v>
      </c>
      <c r="I118" s="0" t="n">
        <v>241.480301907446</v>
      </c>
      <c r="J118" s="0" t="n">
        <v>76.5723087068299</v>
      </c>
      <c r="K118" s="0" t="n">
        <v>275.993673461685</v>
      </c>
    </row>
    <row r="119" customFormat="false" ht="15" hidden="false" customHeight="false" outlineLevel="0" collapsed="false">
      <c r="A119" s="20" t="n">
        <v>49857</v>
      </c>
      <c r="B119" s="0" t="n">
        <v>169.147270504603</v>
      </c>
      <c r="C119" s="0" t="n">
        <v>91.9837578692612</v>
      </c>
      <c r="D119" s="0" t="n">
        <v>246.310783139945</v>
      </c>
      <c r="E119" s="0" t="n">
        <v>51.1358617154433</v>
      </c>
      <c r="F119" s="0" t="n">
        <v>287.158679293763</v>
      </c>
      <c r="G119" s="0" t="n">
        <v>176.282991084311</v>
      </c>
      <c r="H119" s="0" t="n">
        <v>110.828364972798</v>
      </c>
      <c r="I119" s="0" t="n">
        <v>241.737617195825</v>
      </c>
      <c r="J119" s="0" t="n">
        <v>76.1787789330164</v>
      </c>
      <c r="K119" s="0" t="n">
        <v>276.387203235606</v>
      </c>
    </row>
    <row r="120" customFormat="false" ht="15" hidden="false" customHeight="false" outlineLevel="0" collapsed="false">
      <c r="A120" s="20" t="n">
        <v>49888</v>
      </c>
      <c r="B120" s="0" t="n">
        <v>169.147270504603</v>
      </c>
      <c r="C120" s="0" t="n">
        <v>91.6570323666047</v>
      </c>
      <c r="D120" s="0" t="n">
        <v>246.637508642602</v>
      </c>
      <c r="E120" s="0" t="n">
        <v>50.6361781792875</v>
      </c>
      <c r="F120" s="0" t="n">
        <v>287.658362829919</v>
      </c>
      <c r="G120" s="0" t="n">
        <v>176.282991084252</v>
      </c>
      <c r="H120" s="0" t="n">
        <v>110.572057289176</v>
      </c>
      <c r="I120" s="0" t="n">
        <v>241.993924879329</v>
      </c>
      <c r="J120" s="0" t="n">
        <v>75.7867901575922</v>
      </c>
      <c r="K120" s="0" t="n">
        <v>276.779192010912</v>
      </c>
    </row>
    <row r="121" customFormat="false" ht="15" hidden="false" customHeight="false" outlineLevel="0" collapsed="false">
      <c r="A121" s="20" t="n">
        <v>49919</v>
      </c>
      <c r="B121" s="0" t="n">
        <v>169.147270504603</v>
      </c>
      <c r="C121" s="0" t="n">
        <v>91.3316786791674</v>
      </c>
      <c r="D121" s="0" t="n">
        <v>246.962862330039</v>
      </c>
      <c r="E121" s="0" t="n">
        <v>50.1385926534616</v>
      </c>
      <c r="F121" s="0" t="n">
        <v>288.155948355745</v>
      </c>
      <c r="G121" s="0" t="n">
        <v>176.282991084212</v>
      </c>
      <c r="H121" s="0" t="n">
        <v>110.316745465379</v>
      </c>
      <c r="I121" s="0" t="n">
        <v>242.249236703045</v>
      </c>
      <c r="J121" s="0" t="n">
        <v>75.3963244183317</v>
      </c>
      <c r="K121" s="0" t="n">
        <v>277.169657750093</v>
      </c>
    </row>
    <row r="123" customFormat="false" ht="15" hidden="false" customHeight="false" outlineLevel="0" collapsed="false">
      <c r="A123" s="19" t="s">
        <v>125</v>
      </c>
    </row>
    <row r="124" customFormat="false" ht="15" hidden="false" customHeight="false" outlineLevel="0" collapsed="false">
      <c r="A124" s="19" t="s">
        <v>126</v>
      </c>
    </row>
    <row r="125" customFormat="false" ht="15" hidden="false" customHeight="false" outlineLevel="0" collapsed="false">
      <c r="A125" s="19"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0" topLeftCell="A21" activePane="bottomLeft" state="frozen"/>
      <selection pane="topLeft" activeCell="A1" activeCellId="0" sqref="A1"/>
      <selection pane="bottomLeft" activeCell="B3" activeCellId="0" sqref="B3"/>
    </sheetView>
  </sheetViews>
  <sheetFormatPr defaultColWidth="8.6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8" min="3" style="0" width="15"/>
  </cols>
  <sheetData>
    <row r="1" customFormat="false" ht="18" hidden="false" customHeight="true" outlineLevel="0" collapsed="false">
      <c r="A1" s="24" t="s">
        <v>128</v>
      </c>
    </row>
    <row r="3" customFormat="false" ht="15" hidden="false" customHeight="false" outlineLevel="0" collapsed="false">
      <c r="A3" s="25" t="s">
        <v>129</v>
      </c>
      <c r="B3" s="26" t="s">
        <v>7</v>
      </c>
      <c r="C3" s="11" t="str">
        <f aca="false">IF(B3="Diesel",Forecast_Data!M2,"")</f>
        <v/>
      </c>
    </row>
    <row r="4" customFormat="false" ht="15" hidden="false" customHeight="false" outlineLevel="0" collapsed="false">
      <c r="A4" s="11" t="s">
        <v>130</v>
      </c>
      <c r="B4" s="21" t="n">
        <f aca="false">IF(B3="Petrol",Monthly!B106,Monthly!C106)</f>
        <v>169.5025</v>
      </c>
    </row>
    <row r="5" customFormat="false" ht="15" hidden="false" customHeight="false" outlineLevel="0" collapsed="false">
      <c r="A5" s="11" t="s">
        <v>131</v>
      </c>
      <c r="B5" s="21" t="n">
        <f aca="false">Weekly_Data!D458</f>
        <v>52.95</v>
      </c>
    </row>
    <row r="6" customFormat="false" ht="15" hidden="false" customHeight="false" outlineLevel="0" collapsed="false">
      <c r="A6" s="11" t="s">
        <v>132</v>
      </c>
      <c r="B6" s="27" t="n">
        <f aca="false">Weekly_Data!E458/100</f>
        <v>0.2</v>
      </c>
    </row>
    <row r="7" customFormat="false" ht="15" hidden="false" customHeight="false" outlineLevel="0" collapsed="false">
      <c r="A7" s="11" t="s">
        <v>133</v>
      </c>
      <c r="B7" s="17" t="n">
        <f aca="false">B4/(1+B6)-B5</f>
        <v>88.3020833333333</v>
      </c>
    </row>
    <row r="8" customFormat="false" ht="15" hidden="false" customHeight="false" outlineLevel="0" collapsed="false">
      <c r="A8" s="11" t="s">
        <v>134</v>
      </c>
      <c r="B8" s="21" t="n">
        <f aca="false">Assumptions!B5*100/(Assumptions!B7*Assumptions!B6)</f>
        <v>42.7144658124212</v>
      </c>
    </row>
    <row r="9" customFormat="false" ht="15" hidden="false" customHeight="false" outlineLevel="0" collapsed="false">
      <c r="A9" s="25" t="s">
        <v>135</v>
      </c>
      <c r="C9" s="23" t="s">
        <v>136</v>
      </c>
      <c r="D9" s="23" t="s">
        <v>137</v>
      </c>
      <c r="E9" s="23" t="s">
        <v>138</v>
      </c>
    </row>
    <row r="10" customFormat="false" ht="15" hidden="false" customHeight="false" outlineLevel="0" collapsed="false">
      <c r="A10" s="11" t="s">
        <v>139</v>
      </c>
      <c r="C10" s="28" t="s">
        <v>140</v>
      </c>
      <c r="D10" s="28" t="s">
        <v>141</v>
      </c>
      <c r="E10" s="28" t="s">
        <v>142</v>
      </c>
    </row>
    <row r="11" customFormat="false" ht="15" hidden="false" customHeight="false" outlineLevel="0" collapsed="false">
      <c r="A11" s="11" t="s">
        <v>143</v>
      </c>
      <c r="C11" s="29" t="n">
        <f aca="false">Assumptions!B32</f>
        <v>50</v>
      </c>
      <c r="D11" s="29" t="n">
        <f aca="false">Assumptions!C32</f>
        <v>79</v>
      </c>
      <c r="E11" s="29" t="n">
        <f aca="false">Assumptions!D32</f>
        <v>112</v>
      </c>
    </row>
    <row r="12" customFormat="false" ht="15" hidden="false" customHeight="false" outlineLevel="0" collapsed="false">
      <c r="A12" s="11" t="s">
        <v>144</v>
      </c>
      <c r="C12" s="30" t="n">
        <v>0</v>
      </c>
      <c r="D12" s="21" t="n">
        <f aca="false">Assumptions!$B$13</f>
        <v>5</v>
      </c>
      <c r="E12" s="21" t="n">
        <f aca="false">Assumptions!$B$13</f>
        <v>5</v>
      </c>
    </row>
    <row r="13" customFormat="false" ht="15" hidden="false" customHeight="false" outlineLevel="0" collapsed="false">
      <c r="A13" s="11" t="s">
        <v>145</v>
      </c>
      <c r="C13" s="31" t="n">
        <v>0</v>
      </c>
      <c r="D13" s="32" t="n">
        <f aca="false">Assumptions!$B$17</f>
        <v>0.0255</v>
      </c>
      <c r="E13" s="32" t="n">
        <f aca="false">Assumptions!$B$17</f>
        <v>0.0255</v>
      </c>
    </row>
    <row r="14" customFormat="false" ht="31.5" hidden="false" customHeight="true" outlineLevel="0" collapsed="false">
      <c r="A14" s="25" t="s">
        <v>146</v>
      </c>
      <c r="C14" s="33" t="s">
        <v>136</v>
      </c>
      <c r="D14" s="33" t="s">
        <v>137</v>
      </c>
      <c r="E14" s="33" t="s">
        <v>138</v>
      </c>
      <c r="F14" s="33" t="s">
        <v>147</v>
      </c>
      <c r="G14" s="33" t="s">
        <v>148</v>
      </c>
      <c r="H14" s="33" t="s">
        <v>149</v>
      </c>
    </row>
    <row r="15" customFormat="false" ht="15" hidden="false" customHeight="false" outlineLevel="0" collapsed="false">
      <c r="A15" s="11" t="s">
        <v>150</v>
      </c>
      <c r="C15" s="34" t="n">
        <f aca="false">INDEX(C$21:C$140,60)</f>
        <v>154.198949863045</v>
      </c>
      <c r="D15" s="34" t="n">
        <f aca="false">INDEX(D$21:D$140,60)</f>
        <v>185.974843591674</v>
      </c>
      <c r="E15" s="34" t="n">
        <f aca="false">INDEX(E$21:E$140,60)</f>
        <v>207.025315814902</v>
      </c>
      <c r="F15" s="34" t="n">
        <f aca="false">INDEX(F$21:F$140,60)</f>
        <v>169.1472705046</v>
      </c>
      <c r="G15" s="34" t="n">
        <f aca="false">INDEX(G$21:G$140,60)</f>
        <v>114.160846147352</v>
      </c>
      <c r="H15" s="34" t="n">
        <f aca="false">INDEX(H$21:H$140,60)</f>
        <v>224.133694861849</v>
      </c>
    </row>
    <row r="16" customFormat="false" ht="15" hidden="false" customHeight="false" outlineLevel="0" collapsed="false">
      <c r="A16" s="11" t="s">
        <v>151</v>
      </c>
      <c r="C16" s="34" t="n">
        <f aca="false">INDEX(C$21:C$140,120)</f>
        <v>166.539983967055</v>
      </c>
      <c r="D16" s="34" t="n">
        <f aca="false">INDEX(D$21:D$140,120)</f>
        <v>213.514786194358</v>
      </c>
      <c r="E16" s="34" t="n">
        <f aca="false">INDEX(E$21:E$140,120)</f>
        <v>237.482502920567</v>
      </c>
      <c r="F16" s="34" t="n">
        <f aca="false">INDEX(F$21:F$140,120)</f>
        <v>169.147270504603</v>
      </c>
      <c r="G16" s="34" t="n">
        <f aca="false">INDEX(G$21:G$140,120)</f>
        <v>91.3316786791674</v>
      </c>
      <c r="H16" s="34" t="n">
        <f aca="false">INDEX(H$21:H$140,120)</f>
        <v>246.962862330039</v>
      </c>
    </row>
    <row r="17" customFormat="false" ht="15" hidden="false" customHeight="false" outlineLevel="0" collapsed="false">
      <c r="A17" s="11" t="s">
        <v>152</v>
      </c>
      <c r="C17" s="35" t="n">
        <f aca="false">IF(C16="","",C16-$B$4)</f>
        <v>-2.96251603294536</v>
      </c>
      <c r="D17" s="35" t="n">
        <f aca="false">IF(D16="","",D16-$B$4)</f>
        <v>44.0122861943583</v>
      </c>
      <c r="E17" s="35" t="n">
        <f aca="false">IF(E16="","",E16-$B$4)</f>
        <v>67.9800029205674</v>
      </c>
      <c r="F17" s="35" t="n">
        <f aca="false">IF(F16="","",F16-$B$4)</f>
        <v>-0.355229495396998</v>
      </c>
      <c r="G17" s="35" t="n">
        <f aca="false">IF(G16="","",G16-$B$4)</f>
        <v>-78.1708213208326</v>
      </c>
      <c r="H17" s="35" t="n">
        <f aca="false">IF(H16="","",H16-$B$4)</f>
        <v>77.460362330039</v>
      </c>
    </row>
    <row r="18" customFormat="false" ht="15" hidden="false" customHeight="false" outlineLevel="0" collapsed="false">
      <c r="A18" s="19" t="s">
        <v>153</v>
      </c>
    </row>
    <row r="19" customFormat="false" ht="15" hidden="false" customHeight="false" outlineLevel="0" collapsed="false">
      <c r="A19" s="19" t="s">
        <v>154</v>
      </c>
    </row>
    <row r="20" customFormat="false" ht="31.5" hidden="false" customHeight="true" outlineLevel="0" collapsed="false">
      <c r="A20" s="33" t="s">
        <v>93</v>
      </c>
      <c r="B20" s="33" t="s">
        <v>155</v>
      </c>
      <c r="C20" s="33" t="s">
        <v>136</v>
      </c>
      <c r="D20" s="33" t="s">
        <v>137</v>
      </c>
      <c r="E20" s="33" t="s">
        <v>138</v>
      </c>
      <c r="F20" s="33" t="s">
        <v>147</v>
      </c>
      <c r="G20" s="33" t="s">
        <v>148</v>
      </c>
      <c r="H20" s="33" t="s">
        <v>149</v>
      </c>
    </row>
    <row r="21" customFormat="false" ht="15" hidden="false" customHeight="false" outlineLevel="0" collapsed="false">
      <c r="A21" s="36" t="n">
        <f aca="false">Forecast_Data!A2</f>
        <v>46296</v>
      </c>
      <c r="B21" s="17" t="n">
        <f aca="false">(ROW()-ROW($A$20))/12</f>
        <v>0.0833333333333333</v>
      </c>
      <c r="C21" s="34" t="n">
        <f aca="false">(Scenario_Calc!N21+Scenario_Calc!K21)*(1+$B$6)</f>
        <v>167.655009862367</v>
      </c>
      <c r="D21" s="34" t="n">
        <f aca="false">(Scenario_Calc!O21+Scenario_Calc!L21)*(1+$B$6)</f>
        <v>168.598382684833</v>
      </c>
      <c r="E21" s="34" t="n">
        <f aca="false">(Scenario_Calc!P21+Scenario_Calc!M21)*(1+$B$6)</f>
        <v>169.839662714393</v>
      </c>
      <c r="F21" s="37" t="n">
        <f aca="false">IF($B$3="Petrol",Forecast_Data!B2,IF(Forecast_Data!G2="","",Forecast_Data!G2))</f>
        <v>171.035489079739</v>
      </c>
      <c r="G21" s="37" t="n">
        <f aca="false">IF($B$3="Petrol",Forecast_Data!C2,IF(Forecast_Data!H2="","",Forecast_Data!H2))</f>
        <v>166.218753808394</v>
      </c>
      <c r="H21" s="37" t="n">
        <f aca="false">IF($B$3="Petrol",Forecast_Data!D2,IF(Forecast_Data!I2="","",Forecast_Data!I2))</f>
        <v>175.852224351084</v>
      </c>
    </row>
    <row r="22" customFormat="false" ht="15" hidden="false" customHeight="false" outlineLevel="0" collapsed="false">
      <c r="A22" s="36" t="n">
        <f aca="false">Forecast_Data!A3</f>
        <v>46327</v>
      </c>
      <c r="B22" s="17" t="n">
        <f aca="false">(ROW()-ROW($A$20))/12</f>
        <v>0.166666666666667</v>
      </c>
      <c r="C22" s="34" t="n">
        <f aca="false">(Scenario_Calc!N22+Scenario_Calc!K22)*(1+$B$6)</f>
        <v>165.807668945085</v>
      </c>
      <c r="D22" s="34" t="n">
        <f aca="false">(Scenario_Calc!O22+Scenario_Calc!L22)*(1+$B$6)</f>
        <v>167.694414590017</v>
      </c>
      <c r="E22" s="34" t="n">
        <f aca="false">(Scenario_Calc!P22+Scenario_Calc!M22)*(1+$B$6)</f>
        <v>170.176974649137</v>
      </c>
      <c r="F22" s="37" t="n">
        <f aca="false">IF($B$3="Petrol",Forecast_Data!B3,IF(Forecast_Data!G3="","",Forecast_Data!G3))</f>
        <v>168.821692854718</v>
      </c>
      <c r="G22" s="37" t="n">
        <f aca="false">IF($B$3="Petrol",Forecast_Data!C3,IF(Forecast_Data!H3="","",Forecast_Data!H3))</f>
        <v>159.472215689</v>
      </c>
      <c r="H22" s="37" t="n">
        <f aca="false">IF($B$3="Petrol",Forecast_Data!D3,IF(Forecast_Data!I3="","",Forecast_Data!I3))</f>
        <v>178.171170020435</v>
      </c>
    </row>
    <row r="23" customFormat="false" ht="15" hidden="false" customHeight="false" outlineLevel="0" collapsed="false">
      <c r="A23" s="36" t="n">
        <f aca="false">Forecast_Data!A4</f>
        <v>46357</v>
      </c>
      <c r="B23" s="17" t="n">
        <f aca="false">(ROW()-ROW($A$20))/12</f>
        <v>0.25</v>
      </c>
      <c r="C23" s="34" t="n">
        <f aca="false">(Scenario_Calc!N23+Scenario_Calc!K23)*(1+$B$6)</f>
        <v>163.960477494604</v>
      </c>
      <c r="D23" s="34" t="n">
        <f aca="false">(Scenario_Calc!O23+Scenario_Calc!L23)*(1+$B$6)</f>
        <v>166.790595962001</v>
      </c>
      <c r="E23" s="34" t="n">
        <f aca="false">(Scenario_Calc!P23+Scenario_Calc!M23)*(1+$B$6)</f>
        <v>170.514436050682</v>
      </c>
      <c r="F23" s="37" t="n">
        <f aca="false">IF($B$3="Petrol",Forecast_Data!B4,IF(Forecast_Data!G4="","",Forecast_Data!G4))</f>
        <v>168.430504403642</v>
      </c>
      <c r="G23" s="37" t="n">
        <f aca="false">IF($B$3="Petrol",Forecast_Data!C4,IF(Forecast_Data!H4="","",Forecast_Data!H4))</f>
        <v>156.171917343099</v>
      </c>
      <c r="H23" s="37" t="n">
        <f aca="false">IF($B$3="Petrol",Forecast_Data!D4,IF(Forecast_Data!I4="","",Forecast_Data!I4))</f>
        <v>180.689091464186</v>
      </c>
    </row>
    <row r="24" customFormat="false" ht="15" hidden="false" customHeight="false" outlineLevel="0" collapsed="false">
      <c r="A24" s="36" t="n">
        <f aca="false">Forecast_Data!A5</f>
        <v>46388</v>
      </c>
      <c r="B24" s="17" t="n">
        <f aca="false">(ROW()-ROW($A$20))/12</f>
        <v>0.333333333333333</v>
      </c>
      <c r="C24" s="34" t="n">
        <f aca="false">(Scenario_Calc!N24+Scenario_Calc!K24)*(1+$B$6)</f>
        <v>161.287239770104</v>
      </c>
      <c r="D24" s="34" t="n">
        <f aca="false">(Scenario_Calc!O24+Scenario_Calc!L24)*(1+$B$6)</f>
        <v>171.743931588237</v>
      </c>
      <c r="E24" s="34" t="n">
        <f aca="false">(Scenario_Calc!P24+Scenario_Calc!M24)*(1+$B$6)</f>
        <v>178.226392414613</v>
      </c>
      <c r="F24" s="37" t="n">
        <f aca="false">IF($B$3="Petrol",Forecast_Data!B5,IF(Forecast_Data!G5="","",Forecast_Data!G5))</f>
        <v>169.34647914869</v>
      </c>
      <c r="G24" s="37" t="n">
        <f aca="false">IF($B$3="Petrol",Forecast_Data!C5,IF(Forecast_Data!H5="","",Forecast_Data!H5))</f>
        <v>155.391040940337</v>
      </c>
      <c r="H24" s="37" t="n">
        <f aca="false">IF($B$3="Petrol",Forecast_Data!D5,IF(Forecast_Data!I5="","",Forecast_Data!I5))</f>
        <v>183.301917357043</v>
      </c>
    </row>
    <row r="25" customFormat="false" ht="15" hidden="false" customHeight="false" outlineLevel="0" collapsed="false">
      <c r="A25" s="36" t="n">
        <f aca="false">Forecast_Data!A6</f>
        <v>46419</v>
      </c>
      <c r="B25" s="17" t="n">
        <f aca="false">(ROW()-ROW($A$20))/12</f>
        <v>0.416666666666667</v>
      </c>
      <c r="C25" s="34" t="n">
        <f aca="false">(Scenario_Calc!N25+Scenario_Calc!K25)*(1+$B$6)</f>
        <v>159.233798997282</v>
      </c>
      <c r="D25" s="34" t="n">
        <f aca="false">(Scenario_Calc!O25+Scenario_Calc!L25)*(1+$B$6)</f>
        <v>170.804663769948</v>
      </c>
      <c r="E25" s="34" t="n">
        <f aca="false">(Scenario_Calc!P25+Scenario_Calc!M25)*(1+$B$6)</f>
        <v>178.907739802918</v>
      </c>
      <c r="F25" s="37" t="n">
        <f aca="false">IF($B$3="Petrol",Forecast_Data!B6,IF(Forecast_Data!G6="","",Forecast_Data!G6))</f>
        <v>169.411955780673</v>
      </c>
      <c r="G25" s="37" t="n">
        <f aca="false">IF($B$3="Petrol",Forecast_Data!C6,IF(Forecast_Data!H6="","",Forecast_Data!H6))</f>
        <v>153.8764616635</v>
      </c>
      <c r="H25" s="37" t="n">
        <f aca="false">IF($B$3="Petrol",Forecast_Data!D6,IF(Forecast_Data!I6="","",Forecast_Data!I6))</f>
        <v>184.947449897845</v>
      </c>
    </row>
    <row r="26" customFormat="false" ht="15" hidden="false" customHeight="false" outlineLevel="0" collapsed="false">
      <c r="A26" s="36" t="n">
        <f aca="false">Forecast_Data!A7</f>
        <v>46447</v>
      </c>
      <c r="B26" s="17" t="n">
        <f aca="false">(ROW()-ROW($A$20))/12</f>
        <v>0.5</v>
      </c>
      <c r="C26" s="34" t="n">
        <f aca="false">(Scenario_Calc!N26+Scenario_Calc!K26)*(1+$B$6)</f>
        <v>157.180508433053</v>
      </c>
      <c r="D26" s="34" t="n">
        <f aca="false">(Scenario_Calc!O26+Scenario_Calc!L26)*(1+$B$6)</f>
        <v>169.865546160253</v>
      </c>
      <c r="E26" s="34" t="n">
        <f aca="false">(Scenario_Calc!P26+Scenario_Calc!M26)*(1+$B$6)</f>
        <v>179.589237399817</v>
      </c>
      <c r="F26" s="37" t="n">
        <f aca="false">IF($B$3="Petrol",Forecast_Data!B7,IF(Forecast_Data!G7="","",Forecast_Data!G7))</f>
        <v>169.042394089275</v>
      </c>
      <c r="G26" s="37" t="n">
        <f aca="false">IF($B$3="Petrol",Forecast_Data!C7,IF(Forecast_Data!H7="","",Forecast_Data!H7))</f>
        <v>151.872993850919</v>
      </c>
      <c r="H26" s="37" t="n">
        <f aca="false">IF($B$3="Petrol",Forecast_Data!D7,IF(Forecast_Data!I7="","",Forecast_Data!I7))</f>
        <v>186.211794327632</v>
      </c>
    </row>
    <row r="27" customFormat="false" ht="15" hidden="false" customHeight="false" outlineLevel="0" collapsed="false">
      <c r="A27" s="36" t="n">
        <f aca="false">Forecast_Data!A8</f>
        <v>46478</v>
      </c>
      <c r="B27" s="17" t="n">
        <f aca="false">(ROW()-ROW($A$20))/12</f>
        <v>0.583333333333333</v>
      </c>
      <c r="C27" s="34" t="n">
        <f aca="false">(Scenario_Calc!N27+Scenario_Calc!K27)*(1+$B$6)</f>
        <v>155.127368325501</v>
      </c>
      <c r="D27" s="34" t="n">
        <f aca="false">(Scenario_Calc!O27+Scenario_Calc!L27)*(1+$B$6)</f>
        <v>170.699849007234</v>
      </c>
      <c r="E27" s="34" t="n">
        <f aca="false">(Scenario_Calc!P27+Scenario_Calc!M27)*(1+$B$6)</f>
        <v>182.044155453391</v>
      </c>
      <c r="F27" s="37" t="n">
        <f aca="false">IF($B$3="Petrol",Forecast_Data!B8,IF(Forecast_Data!G8="","",Forecast_Data!G8))</f>
        <v>169.052591939807</v>
      </c>
      <c r="G27" s="37" t="n">
        <f aca="false">IF($B$3="Petrol",Forecast_Data!C8,IF(Forecast_Data!H8="","",Forecast_Data!H8))</f>
        <v>150.434425343499</v>
      </c>
      <c r="H27" s="37" t="n">
        <f aca="false">IF($B$3="Petrol",Forecast_Data!D8,IF(Forecast_Data!I8="","",Forecast_Data!I8))</f>
        <v>187.670758536116</v>
      </c>
    </row>
    <row r="28" customFormat="false" ht="15" hidden="false" customHeight="false" outlineLevel="0" collapsed="false">
      <c r="A28" s="36" t="n">
        <f aca="false">Forecast_Data!A9</f>
        <v>46508</v>
      </c>
      <c r="B28" s="17" t="n">
        <f aca="false">(ROW()-ROW($A$20))/12</f>
        <v>0.666666666666667</v>
      </c>
      <c r="C28" s="34" t="n">
        <f aca="false">(Scenario_Calc!N28+Scenario_Calc!K28)*(1+$B$6)</f>
        <v>153.074378923115</v>
      </c>
      <c r="D28" s="34" t="n">
        <f aca="false">(Scenario_Calc!O28+Scenario_Calc!L28)*(1+$B$6)</f>
        <v>169.761032559382</v>
      </c>
      <c r="E28" s="34" t="n">
        <f aca="false">(Scenario_Calc!P28+Scenario_Calc!M28)*(1+$B$6)</f>
        <v>182.725954212133</v>
      </c>
      <c r="F28" s="37" t="n">
        <f aca="false">IF($B$3="Petrol",Forecast_Data!B9,IF(Forecast_Data!G9="","",Forecast_Data!G9))</f>
        <v>169.198113943156</v>
      </c>
      <c r="G28" s="37" t="n">
        <f aca="false">IF($B$3="Petrol",Forecast_Data!C9,IF(Forecast_Data!H9="","",Forecast_Data!H9))</f>
        <v>149.300661274172</v>
      </c>
      <c r="H28" s="37" t="n">
        <f aca="false">IF($B$3="Petrol",Forecast_Data!D9,IF(Forecast_Data!I9="","",Forecast_Data!I9))</f>
        <v>189.095566612141</v>
      </c>
    </row>
    <row r="29" customFormat="false" ht="15" hidden="false" customHeight="false" outlineLevel="0" collapsed="false">
      <c r="A29" s="36" t="n">
        <f aca="false">Forecast_Data!A10</f>
        <v>46539</v>
      </c>
      <c r="B29" s="17" t="n">
        <f aca="false">(ROW()-ROW($A$20))/12</f>
        <v>0.75</v>
      </c>
      <c r="C29" s="34" t="n">
        <f aca="false">(Scenario_Calc!N29+Scenario_Calc!K29)*(1+$B$6)</f>
        <v>151.021540474799</v>
      </c>
      <c r="D29" s="34" t="n">
        <f aca="false">(Scenario_Calc!O29+Scenario_Calc!L29)*(1+$B$6)</f>
        <v>168.822367065598</v>
      </c>
      <c r="E29" s="34" t="n">
        <f aca="false">(Scenario_Calc!P29+Scenario_Calc!M29)*(1+$B$6)</f>
        <v>183.407903924944</v>
      </c>
      <c r="F29" s="37" t="n">
        <f aca="false">IF($B$3="Petrol",Forecast_Data!B10,IF(Forecast_Data!G10="","",Forecast_Data!G10))</f>
        <v>169.179833180142</v>
      </c>
      <c r="G29" s="37" t="n">
        <f aca="false">IF($B$3="Petrol",Forecast_Data!C10,IF(Forecast_Data!H10="","",Forecast_Data!H10))</f>
        <v>148.060101065392</v>
      </c>
      <c r="H29" s="37" t="n">
        <f aca="false">IF($B$3="Petrol",Forecast_Data!D10,IF(Forecast_Data!I10="","",Forecast_Data!I10))</f>
        <v>190.299565294893</v>
      </c>
    </row>
    <row r="30" customFormat="false" ht="15" hidden="false" customHeight="false" outlineLevel="0" collapsed="false">
      <c r="A30" s="36" t="n">
        <f aca="false">Forecast_Data!A11</f>
        <v>46569</v>
      </c>
      <c r="B30" s="17" t="n">
        <f aca="false">(ROW()-ROW($A$20))/12</f>
        <v>0.833333333333333</v>
      </c>
      <c r="C30" s="34" t="n">
        <f aca="false">(Scenario_Calc!N30+Scenario_Calc!K30)*(1+$B$6)</f>
        <v>148.968853229864</v>
      </c>
      <c r="D30" s="34" t="n">
        <f aca="false">(Scenario_Calc!O30+Scenario_Calc!L30)*(1+$B$6)</f>
        <v>167.883852775197</v>
      </c>
      <c r="E30" s="34" t="n">
        <f aca="false">(Scenario_Calc!P30+Scenario_Calc!M30)*(1+$B$6)</f>
        <v>184.090004841136</v>
      </c>
      <c r="F30" s="37" t="n">
        <f aca="false">IF($B$3="Petrol",Forecast_Data!B11,IF(Forecast_Data!G11="","",Forecast_Data!G11))</f>
        <v>169.123926780529</v>
      </c>
      <c r="G30" s="37" t="n">
        <f aca="false">IF($B$3="Petrol",Forecast_Data!C11,IF(Forecast_Data!H11="","",Forecast_Data!H11))</f>
        <v>146.827873487202</v>
      </c>
      <c r="H30" s="37" t="n">
        <f aca="false">IF($B$3="Petrol",Forecast_Data!D11,IF(Forecast_Data!I11="","",Forecast_Data!I11))</f>
        <v>191.419980073856</v>
      </c>
    </row>
    <row r="31" customFormat="false" ht="15" hidden="false" customHeight="false" outlineLevel="0" collapsed="false">
      <c r="A31" s="36" t="n">
        <f aca="false">Forecast_Data!A12</f>
        <v>46600</v>
      </c>
      <c r="B31" s="17" t="n">
        <f aca="false">(ROW()-ROW($A$20))/12</f>
        <v>0.916666666666667</v>
      </c>
      <c r="C31" s="34" t="n">
        <f aca="false">(Scenario_Calc!N31+Scenario_Calc!K31)*(1+$B$6)</f>
        <v>146.916317438035</v>
      </c>
      <c r="D31" s="34" t="n">
        <f aca="false">(Scenario_Calc!O31+Scenario_Calc!L31)*(1+$B$6)</f>
        <v>166.945489937902</v>
      </c>
      <c r="E31" s="34" t="n">
        <f aca="false">(Scenario_Calc!P31+Scenario_Calc!M31)*(1+$B$6)</f>
        <v>184.772257210435</v>
      </c>
      <c r="F31" s="37" t="n">
        <f aca="false">IF($B$3="Petrol",Forecast_Data!B12,IF(Forecast_Data!G12="","",Forecast_Data!G12))</f>
        <v>169.136644325367</v>
      </c>
      <c r="G31" s="37" t="n">
        <f aca="false">IF($B$3="Petrol",Forecast_Data!C12,IF(Forecast_Data!H12="","",Forecast_Data!H12))</f>
        <v>145.732640782161</v>
      </c>
      <c r="H31" s="37" t="n">
        <f aca="false">IF($B$3="Petrol",Forecast_Data!D12,IF(Forecast_Data!I12="","",Forecast_Data!I12))</f>
        <v>192.540647868574</v>
      </c>
    </row>
    <row r="32" customFormat="false" ht="15" hidden="false" customHeight="false" outlineLevel="0" collapsed="false">
      <c r="A32" s="36" t="n">
        <f aca="false">Forecast_Data!A13</f>
        <v>46631</v>
      </c>
      <c r="B32" s="17" t="n">
        <f aca="false">(ROW()-ROW($A$20))/12</f>
        <v>1</v>
      </c>
      <c r="C32" s="34" t="n">
        <f aca="false">(Scenario_Calc!N32+Scenario_Calc!K32)*(1+$B$6)</f>
        <v>144.863933349451</v>
      </c>
      <c r="D32" s="34" t="n">
        <f aca="false">(Scenario_Calc!O32+Scenario_Calc!L32)*(1+$B$6)</f>
        <v>166.00727880385</v>
      </c>
      <c r="E32" s="34" t="n">
        <f aca="false">(Scenario_Calc!P32+Scenario_Calc!M32)*(1+$B$6)</f>
        <v>185.454661282977</v>
      </c>
      <c r="F32" s="37" t="n">
        <f aca="false">IF($B$3="Petrol",Forecast_Data!B13,IF(Forecast_Data!G13="","",Forecast_Data!G13))</f>
        <v>169.157565214676</v>
      </c>
      <c r="G32" s="37" t="n">
        <f aca="false">IF($B$3="Petrol",Forecast_Data!C13,IF(Forecast_Data!H13="","",Forecast_Data!H13))</f>
        <v>144.702450611452</v>
      </c>
      <c r="H32" s="37" t="n">
        <f aca="false">IF($B$3="Petrol",Forecast_Data!D13,IF(Forecast_Data!I13="","",Forecast_Data!I13))</f>
        <v>193.6126798179</v>
      </c>
    </row>
    <row r="33" customFormat="false" ht="15" hidden="false" customHeight="false" outlineLevel="0" collapsed="false">
      <c r="A33" s="36" t="n">
        <f aca="false">Forecast_Data!A14</f>
        <v>46661</v>
      </c>
      <c r="B33" s="17" t="n">
        <f aca="false">(ROW()-ROW($A$20))/12</f>
        <v>1.08333333333333</v>
      </c>
      <c r="C33" s="34" t="n">
        <f aca="false">(Scenario_Calc!N33+Scenario_Calc!K33)*(1+$B$6)</f>
        <v>144.956090337247</v>
      </c>
      <c r="D33" s="34" t="n">
        <f aca="false">(Scenario_Calc!O33+Scenario_Calc!L33)*(1+$B$6)</f>
        <v>166.099435791647</v>
      </c>
      <c r="E33" s="34" t="n">
        <f aca="false">(Scenario_Calc!P33+Scenario_Calc!M33)*(1+$B$6)</f>
        <v>185.546818270774</v>
      </c>
      <c r="F33" s="37" t="n">
        <f aca="false">IF($B$3="Petrol",Forecast_Data!B14,IF(Forecast_Data!G14="","",Forecast_Data!G14))</f>
        <v>169.150476237593</v>
      </c>
      <c r="G33" s="37" t="n">
        <f aca="false">IF($B$3="Petrol",Forecast_Data!C14,IF(Forecast_Data!H14="","",Forecast_Data!H14))</f>
        <v>143.683582692247</v>
      </c>
      <c r="H33" s="37" t="n">
        <f aca="false">IF($B$3="Petrol",Forecast_Data!D14,IF(Forecast_Data!I14="","",Forecast_Data!I14))</f>
        <v>194.617369782938</v>
      </c>
    </row>
    <row r="34" customFormat="false" ht="15" hidden="false" customHeight="false" outlineLevel="0" collapsed="false">
      <c r="A34" s="36" t="n">
        <f aca="false">Forecast_Data!A15</f>
        <v>46692</v>
      </c>
      <c r="B34" s="17" t="n">
        <f aca="false">(ROW()-ROW($A$20))/12</f>
        <v>1.16666666666667</v>
      </c>
      <c r="C34" s="34" t="n">
        <f aca="false">(Scenario_Calc!N34+Scenario_Calc!K34)*(1+$B$6)</f>
        <v>145.048399529802</v>
      </c>
      <c r="D34" s="34" t="n">
        <f aca="false">(Scenario_Calc!O34+Scenario_Calc!L34)*(1+$B$6)</f>
        <v>166.191744984202</v>
      </c>
      <c r="E34" s="34" t="n">
        <f aca="false">(Scenario_Calc!P34+Scenario_Calc!M34)*(1+$B$6)</f>
        <v>185.639127463329</v>
      </c>
      <c r="F34" s="37" t="n">
        <f aca="false">IF($B$3="Petrol",Forecast_Data!B15,IF(Forecast_Data!G15="","",Forecast_Data!G15))</f>
        <v>169.142875327872</v>
      </c>
      <c r="G34" s="37" t="n">
        <f aca="false">IF($B$3="Petrol",Forecast_Data!C15,IF(Forecast_Data!H15="","",Forecast_Data!H15))</f>
        <v>142.700809271898</v>
      </c>
      <c r="H34" s="37" t="n">
        <f aca="false">IF($B$3="Petrol",Forecast_Data!D15,IF(Forecast_Data!I15="","",Forecast_Data!I15))</f>
        <v>195.584941383846</v>
      </c>
    </row>
    <row r="35" customFormat="false" ht="15" hidden="false" customHeight="false" outlineLevel="0" collapsed="false">
      <c r="A35" s="36" t="n">
        <f aca="false">Forecast_Data!A16</f>
        <v>46722</v>
      </c>
      <c r="B35" s="17" t="n">
        <f aca="false">(ROW()-ROW($A$20))/12</f>
        <v>1.25</v>
      </c>
      <c r="C35" s="34" t="n">
        <f aca="false">(Scenario_Calc!N35+Scenario_Calc!K35)*(1+$B$6)</f>
        <v>145.140861178493</v>
      </c>
      <c r="D35" s="34" t="n">
        <f aca="false">(Scenario_Calc!O35+Scenario_Calc!L35)*(1+$B$6)</f>
        <v>166.284206632893</v>
      </c>
      <c r="E35" s="34" t="n">
        <f aca="false">(Scenario_Calc!P35+Scenario_Calc!M35)*(1+$B$6)</f>
        <v>185.73158911202</v>
      </c>
      <c r="F35" s="37" t="n">
        <f aca="false">IF($B$3="Petrol",Forecast_Data!B16,IF(Forecast_Data!G16="","",Forecast_Data!G16))</f>
        <v>169.146429547747</v>
      </c>
      <c r="G35" s="37" t="n">
        <f aca="false">IF($B$3="Petrol",Forecast_Data!C16,IF(Forecast_Data!H16="","",Forecast_Data!H16))</f>
        <v>141.765579609152</v>
      </c>
      <c r="H35" s="37" t="n">
        <f aca="false">IF($B$3="Petrol",Forecast_Data!D16,IF(Forecast_Data!I16="","",Forecast_Data!I16))</f>
        <v>196.527279486342</v>
      </c>
    </row>
    <row r="36" customFormat="false" ht="15" hidden="false" customHeight="false" outlineLevel="0" collapsed="false">
      <c r="A36" s="36" t="n">
        <f aca="false">Forecast_Data!A17</f>
        <v>46753</v>
      </c>
      <c r="B36" s="17" t="n">
        <f aca="false">(ROW()-ROW($A$20))/12</f>
        <v>1.33333333333333</v>
      </c>
      <c r="C36" s="34" t="n">
        <f aca="false">(Scenario_Calc!N36+Scenario_Calc!K36)*(1+$B$6)</f>
        <v>146.363854641713</v>
      </c>
      <c r="D36" s="34" t="n">
        <f aca="false">(Scenario_Calc!O36+Scenario_Calc!L36)*(1+$B$6)</f>
        <v>167.774601605201</v>
      </c>
      <c r="E36" s="34" t="n">
        <f aca="false">(Scenario_Calc!P36+Scenario_Calc!M36)*(1+$B$6)</f>
        <v>188.230817050433</v>
      </c>
      <c r="F36" s="37" t="n">
        <f aca="false">IF($B$3="Petrol",Forecast_Data!B17,IF(Forecast_Data!G17="","",Forecast_Data!G17))</f>
        <v>169.149095333632</v>
      </c>
      <c r="G36" s="37" t="n">
        <f aca="false">IF($B$3="Petrol",Forecast_Data!C17,IF(Forecast_Data!H17="","",Forecast_Data!H17))</f>
        <v>140.861211248959</v>
      </c>
      <c r="H36" s="37" t="n">
        <f aca="false">IF($B$3="Petrol",Forecast_Data!D17,IF(Forecast_Data!I17="","",Forecast_Data!I17))</f>
        <v>197.436979418305</v>
      </c>
    </row>
    <row r="37" customFormat="false" ht="15" hidden="false" customHeight="false" outlineLevel="0" collapsed="false">
      <c r="A37" s="36" t="n">
        <f aca="false">Forecast_Data!A18</f>
        <v>46784</v>
      </c>
      <c r="B37" s="17" t="n">
        <f aca="false">(ROW()-ROW($A$20))/12</f>
        <v>1.41666666666667</v>
      </c>
      <c r="C37" s="34" t="n">
        <f aca="false">(Scenario_Calc!N37+Scenario_Calc!K37)*(1+$B$6)</f>
        <v>146.456621958474</v>
      </c>
      <c r="D37" s="34" t="n">
        <f aca="false">(Scenario_Calc!O37+Scenario_Calc!L37)*(1+$B$6)</f>
        <v>167.867368921962</v>
      </c>
      <c r="E37" s="34" t="n">
        <f aca="false">(Scenario_Calc!P37+Scenario_Calc!M37)*(1+$B$6)</f>
        <v>188.323584367193</v>
      </c>
      <c r="F37" s="37" t="n">
        <f aca="false">IF($B$3="Petrol",Forecast_Data!B18,IF(Forecast_Data!G18="","",Forecast_Data!G18))</f>
        <v>169.147425379655</v>
      </c>
      <c r="G37" s="37" t="n">
        <f aca="false">IF($B$3="Petrol",Forecast_Data!C18,IF(Forecast_Data!H18="","",Forecast_Data!H18))</f>
        <v>139.980016979836</v>
      </c>
      <c r="H37" s="37" t="n">
        <f aca="false">IF($B$3="Petrol",Forecast_Data!D18,IF(Forecast_Data!I18="","",Forecast_Data!I18))</f>
        <v>198.314833779475</v>
      </c>
    </row>
    <row r="38" customFormat="false" ht="15" hidden="false" customHeight="false" outlineLevel="0" collapsed="false">
      <c r="A38" s="36" t="n">
        <f aca="false">Forecast_Data!A19</f>
        <v>46813</v>
      </c>
      <c r="B38" s="17" t="n">
        <f aca="false">(ROW()-ROW($A$20))/12</f>
        <v>1.5</v>
      </c>
      <c r="C38" s="34" t="n">
        <f aca="false">(Scenario_Calc!N38+Scenario_Calc!K38)*(1+$B$6)</f>
        <v>146.549542488001</v>
      </c>
      <c r="D38" s="34" t="n">
        <f aca="false">(Scenario_Calc!O38+Scenario_Calc!L38)*(1+$B$6)</f>
        <v>167.960289451488</v>
      </c>
      <c r="E38" s="34" t="n">
        <f aca="false">(Scenario_Calc!P38+Scenario_Calc!M38)*(1+$B$6)</f>
        <v>188.41650489672</v>
      </c>
      <c r="F38" s="37" t="n">
        <f aca="false">IF($B$3="Petrol",Forecast_Data!B19,IF(Forecast_Data!G19="","",Forecast_Data!G19))</f>
        <v>169.146531863794</v>
      </c>
      <c r="G38" s="37" t="n">
        <f aca="false">IF($B$3="Petrol",Forecast_Data!C19,IF(Forecast_Data!H19="","",Forecast_Data!H19))</f>
        <v>139.125191534699</v>
      </c>
      <c r="H38" s="37" t="n">
        <f aca="false">IF($B$3="Petrol",Forecast_Data!D19,IF(Forecast_Data!I19="","",Forecast_Data!I19))</f>
        <v>199.167872192889</v>
      </c>
    </row>
    <row r="39" customFormat="false" ht="15" hidden="false" customHeight="false" outlineLevel="0" collapsed="false">
      <c r="A39" s="36" t="n">
        <f aca="false">Forecast_Data!A20</f>
        <v>46844</v>
      </c>
      <c r="B39" s="17" t="n">
        <f aca="false">(ROW()-ROW($A$20))/12</f>
        <v>1.58333333333333</v>
      </c>
      <c r="C39" s="34" t="n">
        <f aca="false">(Scenario_Calc!N39+Scenario_Calc!K39)*(1+$B$6)</f>
        <v>146.642616483336</v>
      </c>
      <c r="D39" s="34" t="n">
        <f aca="false">(Scenario_Calc!O39+Scenario_Calc!L39)*(1+$B$6)</f>
        <v>169.871851831824</v>
      </c>
      <c r="E39" s="34" t="n">
        <f aca="false">(Scenario_Calc!P39+Scenario_Calc!M39)*(1+$B$6)</f>
        <v>190.328067277056</v>
      </c>
      <c r="F39" s="37" t="n">
        <f aca="false">IF($B$3="Petrol",Forecast_Data!B20,IF(Forecast_Data!G20="","",Forecast_Data!G20))</f>
        <v>169.147281368843</v>
      </c>
      <c r="G39" s="37" t="n">
        <f aca="false">IF($B$3="Petrol",Forecast_Data!C20,IF(Forecast_Data!H20="","",Forecast_Data!H20))</f>
        <v>138.295907669977</v>
      </c>
      <c r="H39" s="37" t="n">
        <f aca="false">IF($B$3="Petrol",Forecast_Data!D20,IF(Forecast_Data!I20="","",Forecast_Data!I20))</f>
        <v>199.99865506771</v>
      </c>
    </row>
    <row r="40" customFormat="false" ht="15" hidden="false" customHeight="false" outlineLevel="0" collapsed="false">
      <c r="A40" s="36" t="n">
        <f aca="false">Forecast_Data!A21</f>
        <v>46874</v>
      </c>
      <c r="B40" s="17" t="n">
        <f aca="false">(ROW()-ROW($A$20))/12</f>
        <v>1.66666666666667</v>
      </c>
      <c r="C40" s="34" t="n">
        <f aca="false">(Scenario_Calc!N40+Scenario_Calc!K40)*(1+$B$6)</f>
        <v>146.735844197942</v>
      </c>
      <c r="D40" s="34" t="n">
        <f aca="false">(Scenario_Calc!O40+Scenario_Calc!L40)*(1+$B$6)</f>
        <v>169.96507954643</v>
      </c>
      <c r="E40" s="34" t="n">
        <f aca="false">(Scenario_Calc!P40+Scenario_Calc!M40)*(1+$B$6)</f>
        <v>190.421294991662</v>
      </c>
      <c r="F40" s="37" t="n">
        <f aca="false">IF($B$3="Petrol",Forecast_Data!B21,IF(Forecast_Data!G21="","",Forecast_Data!G21))</f>
        <v>169.147562289827</v>
      </c>
      <c r="G40" s="37" t="n">
        <f aca="false">IF($B$3="Petrol",Forecast_Data!C21,IF(Forecast_Data!H21="","",Forecast_Data!H21))</f>
        <v>137.487944707448</v>
      </c>
      <c r="H40" s="37" t="n">
        <f aca="false">IF($B$3="Petrol",Forecast_Data!D21,IF(Forecast_Data!I21="","",Forecast_Data!I21))</f>
        <v>200.807179872205</v>
      </c>
    </row>
    <row r="41" customFormat="false" ht="15" hidden="false" customHeight="false" outlineLevel="0" collapsed="false">
      <c r="A41" s="36" t="n">
        <f aca="false">Forecast_Data!A22</f>
        <v>46905</v>
      </c>
      <c r="B41" s="17" t="n">
        <f aca="false">(ROW()-ROW($A$20))/12</f>
        <v>1.75</v>
      </c>
      <c r="C41" s="34" t="n">
        <f aca="false">(Scenario_Calc!N41+Scenario_Calc!K41)*(1+$B$6)</f>
        <v>146.829225885699</v>
      </c>
      <c r="D41" s="34" t="n">
        <f aca="false">(Scenario_Calc!O41+Scenario_Calc!L41)*(1+$B$6)</f>
        <v>170.058461234186</v>
      </c>
      <c r="E41" s="34" t="n">
        <f aca="false">(Scenario_Calc!P41+Scenario_Calc!M41)*(1+$B$6)</f>
        <v>190.514676679418</v>
      </c>
      <c r="F41" s="37" t="n">
        <f aca="false">IF($B$3="Petrol",Forecast_Data!B22,IF(Forecast_Data!G22="","",Forecast_Data!G22))</f>
        <v>169.147237649486</v>
      </c>
      <c r="G41" s="37" t="n">
        <f aca="false">IF($B$3="Petrol",Forecast_Data!C22,IF(Forecast_Data!H22="","",Forecast_Data!H22))</f>
        <v>136.699396668008</v>
      </c>
      <c r="H41" s="37" t="n">
        <f aca="false">IF($B$3="Petrol",Forecast_Data!D22,IF(Forecast_Data!I22="","",Forecast_Data!I22))</f>
        <v>201.595078630964</v>
      </c>
    </row>
    <row r="42" customFormat="false" ht="15" hidden="false" customHeight="false" outlineLevel="0" collapsed="false">
      <c r="A42" s="36" t="n">
        <f aca="false">Forecast_Data!A23</f>
        <v>46935</v>
      </c>
      <c r="B42" s="17" t="n">
        <f aca="false">(ROW()-ROW($A$20))/12</f>
        <v>1.83333333333333</v>
      </c>
      <c r="C42" s="34" t="n">
        <f aca="false">(Scenario_Calc!N42+Scenario_Calc!K42)*(1+$B$6)</f>
        <v>146.922761800904</v>
      </c>
      <c r="D42" s="34" t="n">
        <f aca="false">(Scenario_Calc!O42+Scenario_Calc!L42)*(1+$B$6)</f>
        <v>170.151997149392</v>
      </c>
      <c r="E42" s="34" t="n">
        <f aca="false">(Scenario_Calc!P42+Scenario_Calc!M42)*(1+$B$6)</f>
        <v>190.608212594624</v>
      </c>
      <c r="F42" s="37" t="n">
        <f aca="false">IF($B$3="Petrol",Forecast_Data!B23,IF(Forecast_Data!G23="","",Forecast_Data!G23))</f>
        <v>169.147158035305</v>
      </c>
      <c r="G42" s="37" t="n">
        <f aca="false">IF($B$3="Petrol",Forecast_Data!C23,IF(Forecast_Data!H23="","",Forecast_Data!H23))</f>
        <v>135.9297889951</v>
      </c>
      <c r="H42" s="37" t="n">
        <f aca="false">IF($B$3="Petrol",Forecast_Data!D23,IF(Forecast_Data!I23="","",Forecast_Data!I23))</f>
        <v>202.364527075511</v>
      </c>
    </row>
    <row r="43" customFormat="false" ht="15" hidden="false" customHeight="false" outlineLevel="0" collapsed="false">
      <c r="A43" s="36" t="n">
        <f aca="false">Forecast_Data!A24</f>
        <v>46966</v>
      </c>
      <c r="B43" s="17" t="n">
        <f aca="false">(ROW()-ROW($A$20))/12</f>
        <v>1.91666666666667</v>
      </c>
      <c r="C43" s="34" t="n">
        <f aca="false">(Scenario_Calc!N43+Scenario_Calc!K43)*(1+$B$6)</f>
        <v>147.016452198279</v>
      </c>
      <c r="D43" s="34" t="n">
        <f aca="false">(Scenario_Calc!O43+Scenario_Calc!L43)*(1+$B$6)</f>
        <v>170.245687546767</v>
      </c>
      <c r="E43" s="34" t="n">
        <f aca="false">(Scenario_Calc!P43+Scenario_Calc!M43)*(1+$B$6)</f>
        <v>190.701902991998</v>
      </c>
      <c r="F43" s="37" t="n">
        <f aca="false">IF($B$3="Petrol",Forecast_Data!B24,IF(Forecast_Data!G24="","",Forecast_Data!G24))</f>
        <v>169.147294534447</v>
      </c>
      <c r="G43" s="37" t="n">
        <f aca="false">IF($B$3="Petrol",Forecast_Data!C24,IF(Forecast_Data!H24="","",Forecast_Data!H24))</f>
        <v>135.177865911816</v>
      </c>
      <c r="H43" s="37" t="n">
        <f aca="false">IF($B$3="Petrol",Forecast_Data!D24,IF(Forecast_Data!I24="","",Forecast_Data!I24))</f>
        <v>203.116723157078</v>
      </c>
    </row>
    <row r="44" customFormat="false" ht="15" hidden="false" customHeight="false" outlineLevel="0" collapsed="false">
      <c r="A44" s="36" t="n">
        <f aca="false">Forecast_Data!A25</f>
        <v>46997</v>
      </c>
      <c r="B44" s="17" t="n">
        <f aca="false">(ROW()-ROW($A$20))/12</f>
        <v>2</v>
      </c>
      <c r="C44" s="34" t="n">
        <f aca="false">(Scenario_Calc!N44+Scenario_Calc!K44)*(1+$B$6)</f>
        <v>147.110297332962</v>
      </c>
      <c r="D44" s="34" t="n">
        <f aca="false">(Scenario_Calc!O44+Scenario_Calc!L44)*(1+$B$6)</f>
        <v>170.33953268145</v>
      </c>
      <c r="E44" s="34" t="n">
        <f aca="false">(Scenario_Calc!P44+Scenario_Calc!M44)*(1+$B$6)</f>
        <v>190.795748126681</v>
      </c>
      <c r="F44" s="37" t="n">
        <f aca="false">IF($B$3="Petrol",Forecast_Data!B25,IF(Forecast_Data!G25="","",Forecast_Data!G25))</f>
        <v>169.14731274415</v>
      </c>
      <c r="G44" s="37" t="n">
        <f aca="false">IF($B$3="Petrol",Forecast_Data!C25,IF(Forecast_Data!H25="","",Forecast_Data!H25))</f>
        <v>134.442115202977</v>
      </c>
      <c r="H44" s="37" t="n">
        <f aca="false">IF($B$3="Petrol",Forecast_Data!D25,IF(Forecast_Data!I25="","",Forecast_Data!I25))</f>
        <v>203.852510285323</v>
      </c>
    </row>
    <row r="45" customFormat="false" ht="15" hidden="false" customHeight="false" outlineLevel="0" collapsed="false">
      <c r="A45" s="36" t="n">
        <f aca="false">Forecast_Data!A26</f>
        <v>47027</v>
      </c>
      <c r="B45" s="17" t="n">
        <f aca="false">(ROW()-ROW($A$20))/12</f>
        <v>2.08333333333333</v>
      </c>
      <c r="C45" s="34" t="n">
        <f aca="false">(Scenario_Calc!N45+Scenario_Calc!K45)*(1+$B$6)</f>
        <v>147.204297460514</v>
      </c>
      <c r="D45" s="34" t="n">
        <f aca="false">(Scenario_Calc!O45+Scenario_Calc!L45)*(1+$B$6)</f>
        <v>170.433532809002</v>
      </c>
      <c r="E45" s="34" t="n">
        <f aca="false">(Scenario_Calc!P45+Scenario_Calc!M45)*(1+$B$6)</f>
        <v>190.889748254234</v>
      </c>
      <c r="F45" s="37" t="n">
        <f aca="false">IF($B$3="Petrol",Forecast_Data!B26,IF(Forecast_Data!G26="","",Forecast_Data!G26))</f>
        <v>169.147256844868</v>
      </c>
      <c r="G45" s="37" t="n">
        <f aca="false">IF($B$3="Petrol",Forecast_Data!C26,IF(Forecast_Data!H26="","",Forecast_Data!H26))</f>
        <v>133.721553420984</v>
      </c>
      <c r="H45" s="37" t="n">
        <f aca="false">IF($B$3="Petrol",Forecast_Data!D26,IF(Forecast_Data!I26="","",Forecast_Data!I26))</f>
        <v>204.572960268752</v>
      </c>
    </row>
    <row r="46" customFormat="false" ht="15" hidden="false" customHeight="false" outlineLevel="0" collapsed="false">
      <c r="A46" s="36" t="n">
        <f aca="false">Forecast_Data!A27</f>
        <v>47058</v>
      </c>
      <c r="B46" s="17" t="n">
        <f aca="false">(ROW()-ROW($A$20))/12</f>
        <v>2.16666666666667</v>
      </c>
      <c r="C46" s="34" t="n">
        <f aca="false">(Scenario_Calc!N46+Scenario_Calc!K46)*(1+$B$6)</f>
        <v>147.29845283692</v>
      </c>
      <c r="D46" s="34" t="n">
        <f aca="false">(Scenario_Calc!O46+Scenario_Calc!L46)*(1+$B$6)</f>
        <v>170.527688185408</v>
      </c>
      <c r="E46" s="34" t="n">
        <f aca="false">(Scenario_Calc!P46+Scenario_Calc!M46)*(1+$B$6)</f>
        <v>190.983903630639</v>
      </c>
      <c r="F46" s="37" t="n">
        <f aca="false">IF($B$3="Petrol",Forecast_Data!B27,IF(Forecast_Data!G27="","",Forecast_Data!G27))</f>
        <v>169.147255094379</v>
      </c>
      <c r="G46" s="37" t="n">
        <f aca="false">IF($B$3="Petrol",Forecast_Data!C27,IF(Forecast_Data!H27="","",Forecast_Data!H27))</f>
        <v>133.015412995837</v>
      </c>
      <c r="H46" s="37" t="n">
        <f aca="false">IF($B$3="Petrol",Forecast_Data!D27,IF(Forecast_Data!I27="","",Forecast_Data!I27))</f>
        <v>205.279097192921</v>
      </c>
    </row>
    <row r="47" customFormat="false" ht="15" hidden="false" customHeight="false" outlineLevel="0" collapsed="false">
      <c r="A47" s="36" t="n">
        <f aca="false">Forecast_Data!A28</f>
        <v>47088</v>
      </c>
      <c r="B47" s="17" t="n">
        <f aca="false">(ROW()-ROW($A$20))/12</f>
        <v>2.25</v>
      </c>
      <c r="C47" s="34" t="n">
        <f aca="false">(Scenario_Calc!N47+Scenario_Calc!K47)*(1+$B$6)</f>
        <v>147.392763718585</v>
      </c>
      <c r="D47" s="34" t="n">
        <f aca="false">(Scenario_Calc!O47+Scenario_Calc!L47)*(1+$B$6)</f>
        <v>170.621999067073</v>
      </c>
      <c r="E47" s="34" t="n">
        <f aca="false">(Scenario_Calc!P47+Scenario_Calc!M47)*(1+$B$6)</f>
        <v>191.078214512304</v>
      </c>
      <c r="F47" s="37" t="n">
        <f aca="false">IF($B$3="Petrol",Forecast_Data!B28,IF(Forecast_Data!G28="","",Forecast_Data!G28))</f>
        <v>169.147277427975</v>
      </c>
      <c r="G47" s="37" t="n">
        <f aca="false">IF($B$3="Petrol",Forecast_Data!C28,IF(Forecast_Data!H28="","",Forecast_Data!H28))</f>
        <v>132.322840483005</v>
      </c>
      <c r="H47" s="37" t="n">
        <f aca="false">IF($B$3="Petrol",Forecast_Data!D28,IF(Forecast_Data!I28="","",Forecast_Data!I28))</f>
        <v>205.971714372945</v>
      </c>
    </row>
    <row r="48" customFormat="false" ht="15" hidden="false" customHeight="false" outlineLevel="0" collapsed="false">
      <c r="A48" s="36" t="n">
        <f aca="false">Forecast_Data!A29</f>
        <v>47119</v>
      </c>
      <c r="B48" s="17" t="n">
        <f aca="false">(ROW()-ROW($A$20))/12</f>
        <v>2.33333333333333</v>
      </c>
      <c r="C48" s="34" t="n">
        <f aca="false">(Scenario_Calc!N48+Scenario_Calc!K48)*(1+$B$6)</f>
        <v>148.6526147574</v>
      </c>
      <c r="D48" s="34" t="n">
        <f aca="false">(Scenario_Calc!O48+Scenario_Calc!L48)*(1+$B$6)</f>
        <v>172.78688266801</v>
      </c>
      <c r="E48" s="34" t="n">
        <f aca="false">(Scenario_Calc!P48+Scenario_Calc!M48)*(1+$B$6)</f>
        <v>193.652222422146</v>
      </c>
      <c r="F48" s="37" t="n">
        <f aca="false">IF($B$3="Petrol",Forecast_Data!B29,IF(Forecast_Data!G29="","",Forecast_Data!G29))</f>
        <v>169.147275936908</v>
      </c>
      <c r="G48" s="37" t="n">
        <f aca="false">IF($B$3="Petrol",Forecast_Data!C29,IF(Forecast_Data!H29="","",Forecast_Data!H29))</f>
        <v>131.643030724169</v>
      </c>
      <c r="H48" s="37" t="n">
        <f aca="false">IF($B$3="Petrol",Forecast_Data!D29,IF(Forecast_Data!I29="","",Forecast_Data!I29))</f>
        <v>206.651521149646</v>
      </c>
    </row>
    <row r="49" customFormat="false" ht="15" hidden="false" customHeight="false" outlineLevel="0" collapsed="false">
      <c r="A49" s="36" t="n">
        <f aca="false">Forecast_Data!A30</f>
        <v>47150</v>
      </c>
      <c r="B49" s="17" t="n">
        <f aca="false">(ROW()-ROW($A$20))/12</f>
        <v>2.41666666666667</v>
      </c>
      <c r="C49" s="34" t="n">
        <f aca="false">(Scenario_Calc!N49+Scenario_Calc!K49)*(1+$B$6)</f>
        <v>148.747237420496</v>
      </c>
      <c r="D49" s="34" t="n">
        <f aca="false">(Scenario_Calc!O49+Scenario_Calc!L49)*(1+$B$6)</f>
        <v>172.881505331106</v>
      </c>
      <c r="E49" s="34" t="n">
        <f aca="false">(Scenario_Calc!P49+Scenario_Calc!M49)*(1+$B$6)</f>
        <v>193.746845085242</v>
      </c>
      <c r="F49" s="37" t="n">
        <f aca="false">IF($B$3="Petrol",Forecast_Data!B30,IF(Forecast_Data!G30="","",Forecast_Data!G30))</f>
        <v>169.147267228213</v>
      </c>
      <c r="G49" s="37" t="n">
        <f aca="false">IF($B$3="Petrol",Forecast_Data!C30,IF(Forecast_Data!H30="","",Forecast_Data!H30))</f>
        <v>130.975316630277</v>
      </c>
      <c r="H49" s="37" t="n">
        <f aca="false">IF($B$3="Petrol",Forecast_Data!D30,IF(Forecast_Data!I30="","",Forecast_Data!I30))</f>
        <v>207.31921782615</v>
      </c>
    </row>
    <row r="50" customFormat="false" ht="15" hidden="false" customHeight="false" outlineLevel="0" collapsed="false">
      <c r="A50" s="36" t="n">
        <f aca="false">Forecast_Data!A31</f>
        <v>47178</v>
      </c>
      <c r="B50" s="17" t="n">
        <f aca="false">(ROW()-ROW($A$20))/12</f>
        <v>2.5</v>
      </c>
      <c r="C50" s="34" t="n">
        <f aca="false">(Scenario_Calc!N50+Scenario_Calc!K50)*(1+$B$6)</f>
        <v>148.842016360613</v>
      </c>
      <c r="D50" s="34" t="n">
        <f aca="false">(Scenario_Calc!O50+Scenario_Calc!L50)*(1+$B$6)</f>
        <v>172.976284271223</v>
      </c>
      <c r="E50" s="34" t="n">
        <f aca="false">(Scenario_Calc!P50+Scenario_Calc!M50)*(1+$B$6)</f>
        <v>193.84162402536</v>
      </c>
      <c r="F50" s="37" t="n">
        <f aca="false">IF($B$3="Petrol",Forecast_Data!B31,IF(Forecast_Data!G31="","",Forecast_Data!G31))</f>
        <v>169.14726867142</v>
      </c>
      <c r="G50" s="37" t="n">
        <f aca="false">IF($B$3="Petrol",Forecast_Data!C31,IF(Forecast_Data!H31="","",Forecast_Data!H31))</f>
        <v>130.319093879851</v>
      </c>
      <c r="H50" s="37" t="n">
        <f aca="false">IF($B$3="Petrol",Forecast_Data!D31,IF(Forecast_Data!I31="","",Forecast_Data!I31))</f>
        <v>207.975443462988</v>
      </c>
    </row>
    <row r="51" customFormat="false" ht="15" hidden="false" customHeight="false" outlineLevel="0" collapsed="false">
      <c r="A51" s="36" t="n">
        <f aca="false">Forecast_Data!A32</f>
        <v>47209</v>
      </c>
      <c r="B51" s="17" t="n">
        <f aca="false">(ROW()-ROW($A$20))/12</f>
        <v>2.58333333333333</v>
      </c>
      <c r="C51" s="34" t="n">
        <f aca="false">(Scenario_Calc!N51+Scenario_Calc!K51)*(1+$B$6)</f>
        <v>148.936951835856</v>
      </c>
      <c r="D51" s="34" t="n">
        <f aca="false">(Scenario_Calc!O51+Scenario_Calc!L51)*(1+$B$6)</f>
        <v>174.936079585283</v>
      </c>
      <c r="E51" s="34" t="n">
        <f aca="false">(Scenario_Calc!P51+Scenario_Calc!M51)*(1+$B$6)</f>
        <v>195.80141933942</v>
      </c>
      <c r="F51" s="37" t="n">
        <f aca="false">IF($B$3="Petrol",Forecast_Data!B32,IF(Forecast_Data!G32="","",Forecast_Data!G32))</f>
        <v>169.147271982946</v>
      </c>
      <c r="G51" s="37" t="n">
        <f aca="false">IF($B$3="Petrol",Forecast_Data!C32,IF(Forecast_Data!H32="","",Forecast_Data!H32))</f>
        <v>129.673781527348</v>
      </c>
      <c r="H51" s="37" t="n">
        <f aca="false">IF($B$3="Petrol",Forecast_Data!D32,IF(Forecast_Data!I32="","",Forecast_Data!I32))</f>
        <v>208.620762438544</v>
      </c>
    </row>
    <row r="52" customFormat="false" ht="15" hidden="false" customHeight="false" outlineLevel="0" collapsed="false">
      <c r="A52" s="36" t="n">
        <f aca="false">Forecast_Data!A33</f>
        <v>47239</v>
      </c>
      <c r="B52" s="17" t="n">
        <f aca="false">(ROW()-ROW($A$20))/12</f>
        <v>2.66666666666667</v>
      </c>
      <c r="C52" s="34" t="n">
        <f aca="false">(Scenario_Calc!N52+Scenario_Calc!K52)*(1+$B$6)</f>
        <v>149.032044104754</v>
      </c>
      <c r="D52" s="34" t="n">
        <f aca="false">(Scenario_Calc!O52+Scenario_Calc!L52)*(1+$B$6)</f>
        <v>175.031171854181</v>
      </c>
      <c r="E52" s="34" t="n">
        <f aca="false">(Scenario_Calc!P52+Scenario_Calc!M52)*(1+$B$6)</f>
        <v>195.896511608318</v>
      </c>
      <c r="F52" s="37" t="n">
        <f aca="false">IF($B$3="Petrol",Forecast_Data!B33,IF(Forecast_Data!G33="","",Forecast_Data!G33))</f>
        <v>169.147271086765</v>
      </c>
      <c r="G52" s="37" t="n">
        <f aca="false">IF($B$3="Petrol",Forecast_Data!C33,IF(Forecast_Data!H33="","",Forecast_Data!H33))</f>
        <v>129.038845933809</v>
      </c>
      <c r="H52" s="37" t="n">
        <f aca="false">IF($B$3="Petrol",Forecast_Data!D33,IF(Forecast_Data!I33="","",Forecast_Data!I33))</f>
        <v>209.255696239721</v>
      </c>
    </row>
    <row r="53" customFormat="false" ht="15" hidden="false" customHeight="false" outlineLevel="0" collapsed="false">
      <c r="A53" s="36" t="n">
        <f aca="false">Forecast_Data!A34</f>
        <v>47270</v>
      </c>
      <c r="B53" s="17" t="n">
        <f aca="false">(ROW()-ROW($A$20))/12</f>
        <v>2.75</v>
      </c>
      <c r="C53" s="34" t="n">
        <f aca="false">(Scenario_Calc!N53+Scenario_Calc!K53)*(1+$B$6)</f>
        <v>149.127293426265</v>
      </c>
      <c r="D53" s="34" t="n">
        <f aca="false">(Scenario_Calc!O53+Scenario_Calc!L53)*(1+$B$6)</f>
        <v>175.126421175693</v>
      </c>
      <c r="E53" s="34" t="n">
        <f aca="false">(Scenario_Calc!P53+Scenario_Calc!M53)*(1+$B$6)</f>
        <v>195.991760929829</v>
      </c>
      <c r="F53" s="37" t="n">
        <f aca="false">IF($B$3="Petrol",Forecast_Data!B34,IF(Forecast_Data!G34="","",Forecast_Data!G34))</f>
        <v>169.147269861528</v>
      </c>
      <c r="G53" s="37" t="n">
        <f aca="false">IF($B$3="Petrol",Forecast_Data!C34,IF(Forecast_Data!H34="","",Forecast_Data!H34))</f>
        <v>128.413805653106</v>
      </c>
      <c r="H53" s="37" t="n">
        <f aca="false">IF($B$3="Petrol",Forecast_Data!D34,IF(Forecast_Data!I34="","",Forecast_Data!I34))</f>
        <v>209.880734069951</v>
      </c>
    </row>
    <row r="54" customFormat="false" ht="15" hidden="false" customHeight="false" outlineLevel="0" collapsed="false">
      <c r="A54" s="36" t="n">
        <f aca="false">Forecast_Data!A35</f>
        <v>47300</v>
      </c>
      <c r="B54" s="17" t="n">
        <f aca="false">(ROW()-ROW($A$20))/12</f>
        <v>2.83333333333333</v>
      </c>
      <c r="C54" s="34" t="n">
        <f aca="false">(Scenario_Calc!N54+Scenario_Calc!K54)*(1+$B$6)</f>
        <v>149.222700059775</v>
      </c>
      <c r="D54" s="34" t="n">
        <f aca="false">(Scenario_Calc!O54+Scenario_Calc!L54)*(1+$B$6)</f>
        <v>175.221827809203</v>
      </c>
      <c r="E54" s="34" t="n">
        <f aca="false">(Scenario_Calc!P54+Scenario_Calc!M54)*(1+$B$6)</f>
        <v>196.087167563339</v>
      </c>
      <c r="F54" s="37" t="n">
        <f aca="false">IF($B$3="Petrol",Forecast_Data!B35,IF(Forecast_Data!G35="","",Forecast_Data!G35))</f>
        <v>169.147270336711</v>
      </c>
      <c r="G54" s="37" t="n">
        <f aca="false">IF($B$3="Petrol",Forecast_Data!C35,IF(Forecast_Data!H35="","",Forecast_Data!H35))</f>
        <v>127.798214343836</v>
      </c>
      <c r="H54" s="37" t="n">
        <f aca="false">IF($B$3="Petrol",Forecast_Data!D35,IF(Forecast_Data!I35="","",Forecast_Data!I35))</f>
        <v>210.496326329587</v>
      </c>
    </row>
    <row r="55" customFormat="false" ht="15" hidden="false" customHeight="false" outlineLevel="0" collapsed="false">
      <c r="A55" s="36" t="n">
        <f aca="false">Forecast_Data!A36</f>
        <v>47331</v>
      </c>
      <c r="B55" s="17" t="n">
        <f aca="false">(ROW()-ROW($A$20))/12</f>
        <v>2.91666666666667</v>
      </c>
      <c r="C55" s="34" t="n">
        <f aca="false">(Scenario_Calc!N55+Scenario_Calc!K55)*(1+$B$6)</f>
        <v>149.318264265097</v>
      </c>
      <c r="D55" s="34" t="n">
        <f aca="false">(Scenario_Calc!O55+Scenario_Calc!L55)*(1+$B$6)</f>
        <v>175.317392014525</v>
      </c>
      <c r="E55" s="34" t="n">
        <f aca="false">(Scenario_Calc!P55+Scenario_Calc!M55)*(1+$B$6)</f>
        <v>196.182731768661</v>
      </c>
      <c r="F55" s="37" t="n">
        <f aca="false">IF($B$3="Petrol",Forecast_Data!B36,IF(Forecast_Data!G36="","",Forecast_Data!G36))</f>
        <v>169.147270775989</v>
      </c>
      <c r="G55" s="37" t="n">
        <f aca="false">IF($B$3="Petrol",Forecast_Data!C36,IF(Forecast_Data!H36="","",Forecast_Data!H36))</f>
        <v>127.191654340705</v>
      </c>
      <c r="H55" s="37" t="n">
        <f aca="false">IF($B$3="Petrol",Forecast_Data!D36,IF(Forecast_Data!I36="","",Forecast_Data!I36))</f>
        <v>211.102887211273</v>
      </c>
    </row>
    <row r="56" customFormat="false" ht="15" hidden="false" customHeight="false" outlineLevel="0" collapsed="false">
      <c r="A56" s="36" t="n">
        <f aca="false">Forecast_Data!A37</f>
        <v>47362</v>
      </c>
      <c r="B56" s="17" t="n">
        <f aca="false">(ROW()-ROW($A$20))/12</f>
        <v>3</v>
      </c>
      <c r="C56" s="34" t="n">
        <f aca="false">(Scenario_Calc!N56+Scenario_Calc!K56)*(1+$B$6)</f>
        <v>149.413986302474</v>
      </c>
      <c r="D56" s="34" t="n">
        <f aca="false">(Scenario_Calc!O56+Scenario_Calc!L56)*(1+$B$6)</f>
        <v>175.413114051901</v>
      </c>
      <c r="E56" s="34" t="n">
        <f aca="false">(Scenario_Calc!P56+Scenario_Calc!M56)*(1+$B$6)</f>
        <v>196.278453806038</v>
      </c>
      <c r="F56" s="37" t="n">
        <f aca="false">IF($B$3="Petrol",Forecast_Data!B37,IF(Forecast_Data!G37="","",Forecast_Data!G37))</f>
        <v>169.147270544615</v>
      </c>
      <c r="G56" s="37" t="n">
        <f aca="false">IF($B$3="Petrol",Forecast_Data!C37,IF(Forecast_Data!H37="","",Forecast_Data!H37))</f>
        <v>126.593738667529</v>
      </c>
      <c r="H56" s="37" t="n">
        <f aca="false">IF($B$3="Petrol",Forecast_Data!D37,IF(Forecast_Data!I37="","",Forecast_Data!I37))</f>
        <v>211.700802421701</v>
      </c>
    </row>
    <row r="57" customFormat="false" ht="15" hidden="false" customHeight="false" outlineLevel="0" collapsed="false">
      <c r="A57" s="36" t="n">
        <f aca="false">Forecast_Data!A38</f>
        <v>47392</v>
      </c>
      <c r="B57" s="17" t="n">
        <f aca="false">(ROW()-ROW($A$20))/12</f>
        <v>3.08333333333333</v>
      </c>
      <c r="C57" s="34" t="n">
        <f aca="false">(Scenario_Calc!N57+Scenario_Calc!K57)*(1+$B$6)</f>
        <v>149.509866432577</v>
      </c>
      <c r="D57" s="34" t="n">
        <f aca="false">(Scenario_Calc!O57+Scenario_Calc!L57)*(1+$B$6)</f>
        <v>175.508994182005</v>
      </c>
      <c r="E57" s="34" t="n">
        <f aca="false">(Scenario_Calc!P57+Scenario_Calc!M57)*(1+$B$6)</f>
        <v>196.374333936141</v>
      </c>
      <c r="F57" s="37" t="n">
        <f aca="false">IF($B$3="Petrol",Forecast_Data!B38,IF(Forecast_Data!G38="","",Forecast_Data!G38))</f>
        <v>169.147270393093</v>
      </c>
      <c r="G57" s="37" t="n">
        <f aca="false">IF($B$3="Petrol",Forecast_Data!C38,IF(Forecast_Data!H38="","",Forecast_Data!H38))</f>
        <v>126.004108689017</v>
      </c>
      <c r="H57" s="37" t="n">
        <f aca="false">IF($B$3="Petrol",Forecast_Data!D38,IF(Forecast_Data!I38="","",Forecast_Data!I38))</f>
        <v>212.290432097168</v>
      </c>
    </row>
    <row r="58" customFormat="false" ht="15" hidden="false" customHeight="false" outlineLevel="0" collapsed="false">
      <c r="A58" s="36" t="n">
        <f aca="false">Forecast_Data!A39</f>
        <v>47423</v>
      </c>
      <c r="B58" s="17" t="n">
        <f aca="false">(ROW()-ROW($A$20))/12</f>
        <v>3.16666666666667</v>
      </c>
      <c r="C58" s="34" t="n">
        <f aca="false">(Scenario_Calc!N58+Scenario_Calc!K58)*(1+$B$6)</f>
        <v>149.605904916511</v>
      </c>
      <c r="D58" s="34" t="n">
        <f aca="false">(Scenario_Calc!O58+Scenario_Calc!L58)*(1+$B$6)</f>
        <v>175.605032665939</v>
      </c>
      <c r="E58" s="34" t="n">
        <f aca="false">(Scenario_Calc!P58+Scenario_Calc!M58)*(1+$B$6)</f>
        <v>196.470372420075</v>
      </c>
      <c r="F58" s="37" t="n">
        <f aca="false">IF($B$3="Petrol",Forecast_Data!B39,IF(Forecast_Data!G39="","",Forecast_Data!G39))</f>
        <v>169.14727049965</v>
      </c>
      <c r="G58" s="37" t="n">
        <f aca="false">IF($B$3="Petrol",Forecast_Data!C39,IF(Forecast_Data!H39="","",Forecast_Data!H39))</f>
        <v>125.422429436958</v>
      </c>
      <c r="H58" s="37" t="n">
        <f aca="false">IF($B$3="Petrol",Forecast_Data!D39,IF(Forecast_Data!I39="","",Forecast_Data!I39))</f>
        <v>212.872111562341</v>
      </c>
    </row>
    <row r="59" customFormat="false" ht="15" hidden="false" customHeight="false" outlineLevel="0" collapsed="false">
      <c r="A59" s="36" t="n">
        <f aca="false">Forecast_Data!A40</f>
        <v>47453</v>
      </c>
      <c r="B59" s="17" t="n">
        <f aca="false">(ROW()-ROW($A$20))/12</f>
        <v>3.25</v>
      </c>
      <c r="C59" s="34" t="n">
        <f aca="false">(Scenario_Calc!N59+Scenario_Calc!K59)*(1+$B$6)</f>
        <v>149.702102015809</v>
      </c>
      <c r="D59" s="34" t="n">
        <f aca="false">(Scenario_Calc!O59+Scenario_Calc!L59)*(1+$B$6)</f>
        <v>175.701229765237</v>
      </c>
      <c r="E59" s="34" t="n">
        <f aca="false">(Scenario_Calc!P59+Scenario_Calc!M59)*(1+$B$6)</f>
        <v>196.566569519373</v>
      </c>
      <c r="F59" s="37" t="n">
        <f aca="false">IF($B$3="Petrol",Forecast_Data!B40,IF(Forecast_Data!G40="","",Forecast_Data!G40))</f>
        <v>169.147270549298</v>
      </c>
      <c r="G59" s="37" t="n">
        <f aca="false">IF($B$3="Petrol",Forecast_Data!C40,IF(Forecast_Data!H40="","",Forecast_Data!H40))</f>
        <v>124.848387385093</v>
      </c>
      <c r="H59" s="37" t="n">
        <f aca="false">IF($B$3="Petrol",Forecast_Data!D40,IF(Forecast_Data!I40="","",Forecast_Data!I40))</f>
        <v>213.446153713503</v>
      </c>
    </row>
    <row r="60" customFormat="false" ht="15" hidden="false" customHeight="false" outlineLevel="0" collapsed="false">
      <c r="A60" s="36" t="n">
        <f aca="false">Forecast_Data!A41</f>
        <v>47484</v>
      </c>
      <c r="B60" s="17" t="n">
        <f aca="false">(ROW()-ROW($A$20))/12</f>
        <v>3.33333333333333</v>
      </c>
      <c r="C60" s="34" t="n">
        <f aca="false">(Scenario_Calc!N60+Scenario_Calc!K60)*(1+$B$6)</f>
        <v>150.999795735858</v>
      </c>
      <c r="D60" s="34" t="n">
        <f aca="false">(Scenario_Calc!O60+Scenario_Calc!L60)*(1+$B$6)</f>
        <v>177.934702359107</v>
      </c>
      <c r="E60" s="34" t="n">
        <f aca="false">(Scenario_Calc!P60+Scenario_Calc!M60)*(1+$B$6)</f>
        <v>199.217348908326</v>
      </c>
      <c r="F60" s="37" t="n">
        <f aca="false">IF($B$3="Petrol",Forecast_Data!B41,IF(Forecast_Data!G41="","",Forecast_Data!G41))</f>
        <v>169.147270502194</v>
      </c>
      <c r="G60" s="37" t="n">
        <f aca="false">IF($B$3="Petrol",Forecast_Data!C41,IF(Forecast_Data!H41="","",Forecast_Data!H41))</f>
        <v>124.281689326148</v>
      </c>
      <c r="H60" s="37" t="n">
        <f aca="false">IF($B$3="Petrol",Forecast_Data!D41,IF(Forecast_Data!I41="","",Forecast_Data!I41))</f>
        <v>214.01285167824</v>
      </c>
    </row>
    <row r="61" customFormat="false" ht="15" hidden="false" customHeight="false" outlineLevel="0" collapsed="false">
      <c r="A61" s="36" t="n">
        <f aca="false">Forecast_Data!A42</f>
        <v>47515</v>
      </c>
      <c r="B61" s="17" t="n">
        <f aca="false">(ROW()-ROW($A$20))/12</f>
        <v>3.41666666666667</v>
      </c>
      <c r="C61" s="34" t="n">
        <f aca="false">(Scenario_Calc!N61+Scenario_Calc!K61)*(1+$B$6)</f>
        <v>151.096310852216</v>
      </c>
      <c r="D61" s="34" t="n">
        <f aca="false">(Scenario_Calc!O61+Scenario_Calc!L61)*(1+$B$6)</f>
        <v>178.031217475465</v>
      </c>
      <c r="E61" s="34" t="n">
        <f aca="false">(Scenario_Calc!P61+Scenario_Calc!M61)*(1+$B$6)</f>
        <v>199.313864024684</v>
      </c>
      <c r="F61" s="37" t="n">
        <f aca="false">IF($B$3="Petrol",Forecast_Data!B42,IF(Forecast_Data!G42="","",Forecast_Data!G42))</f>
        <v>169.147270487119</v>
      </c>
      <c r="G61" s="37" t="n">
        <f aca="false">IF($B$3="Petrol",Forecast_Data!C42,IF(Forecast_Data!H42="","",Forecast_Data!H42))</f>
        <v>123.722060536823</v>
      </c>
      <c r="H61" s="37" t="n">
        <f aca="false">IF($B$3="Petrol",Forecast_Data!D42,IF(Forecast_Data!I42="","",Forecast_Data!I42))</f>
        <v>214.572480437415</v>
      </c>
    </row>
    <row r="62" customFormat="false" ht="15" hidden="false" customHeight="false" outlineLevel="0" collapsed="false">
      <c r="A62" s="36" t="n">
        <f aca="false">Forecast_Data!A43</f>
        <v>47543</v>
      </c>
      <c r="B62" s="17" t="n">
        <f aca="false">(ROW()-ROW($A$20))/12</f>
        <v>3.5</v>
      </c>
      <c r="C62" s="34" t="n">
        <f aca="false">(Scenario_Calc!N62+Scenario_Calc!K62)*(1+$B$6)</f>
        <v>151.192985371135</v>
      </c>
      <c r="D62" s="34" t="n">
        <f aca="false">(Scenario_Calc!O62+Scenario_Calc!L62)*(1+$B$6)</f>
        <v>178.127891994385</v>
      </c>
      <c r="E62" s="34" t="n">
        <f aca="false">(Scenario_Calc!P62+Scenario_Calc!M62)*(1+$B$6)</f>
        <v>199.410538543604</v>
      </c>
      <c r="F62" s="37" t="n">
        <f aca="false">IF($B$3="Petrol",Forecast_Data!B43,IF(Forecast_Data!G43="","",Forecast_Data!G43))</f>
        <v>169.147270507269</v>
      </c>
      <c r="G62" s="37" t="n">
        <f aca="false">IF($B$3="Petrol",Forecast_Data!C43,IF(Forecast_Data!H43="","",Forecast_Data!H43))</f>
        <v>123.169242892171</v>
      </c>
      <c r="H62" s="37" t="n">
        <f aca="false">IF($B$3="Petrol",Forecast_Data!D43,IF(Forecast_Data!I43="","",Forecast_Data!I43))</f>
        <v>215.125298122367</v>
      </c>
    </row>
    <row r="63" customFormat="false" ht="15" hidden="false" customHeight="false" outlineLevel="0" collapsed="false">
      <c r="A63" s="36" t="n">
        <f aca="false">Forecast_Data!A44</f>
        <v>47574</v>
      </c>
      <c r="B63" s="17" t="n">
        <f aca="false">(ROW()-ROW($A$20))/12</f>
        <v>3.58333333333333</v>
      </c>
      <c r="C63" s="34" t="n">
        <f aca="false">(Scenario_Calc!N63+Scenario_Calc!K63)*(1+$B$6)</f>
        <v>151.289819555882</v>
      </c>
      <c r="D63" s="34" t="n">
        <f aca="false">(Scenario_Calc!O63+Scenario_Calc!L63)*(1+$B$6)</f>
        <v>180.137139943839</v>
      </c>
      <c r="E63" s="34" t="n">
        <f aca="false">(Scenario_Calc!P63+Scenario_Calc!M63)*(1+$B$6)</f>
        <v>201.419786493058</v>
      </c>
      <c r="F63" s="37" t="n">
        <f aca="false">IF($B$3="Petrol",Forecast_Data!B44,IF(Forecast_Data!G44="","",Forecast_Data!G44))</f>
        <v>169.147270511274</v>
      </c>
      <c r="G63" s="37" t="n">
        <f aca="false">IF($B$3="Petrol",Forecast_Data!C44,IF(Forecast_Data!H44="","",Forecast_Data!H44))</f>
        <v>122.622993539741</v>
      </c>
      <c r="H63" s="37" t="n">
        <f aca="false">IF($B$3="Petrol",Forecast_Data!D44,IF(Forecast_Data!I44="","",Forecast_Data!I44))</f>
        <v>215.671547482808</v>
      </c>
    </row>
    <row r="64" customFormat="false" ht="15" hidden="false" customHeight="false" outlineLevel="0" collapsed="false">
      <c r="A64" s="36" t="n">
        <f aca="false">Forecast_Data!A45</f>
        <v>47604</v>
      </c>
      <c r="B64" s="17" t="n">
        <f aca="false">(ROW()-ROW($A$20))/12</f>
        <v>3.66666666666667</v>
      </c>
      <c r="C64" s="34" t="n">
        <f aca="false">(Scenario_Calc!N64+Scenario_Calc!K64)*(1+$B$6)</f>
        <v>151.386813670159</v>
      </c>
      <c r="D64" s="34" t="n">
        <f aca="false">(Scenario_Calc!O64+Scenario_Calc!L64)*(1+$B$6)</f>
        <v>180.234134058115</v>
      </c>
      <c r="E64" s="34" t="n">
        <f aca="false">(Scenario_Calc!P64+Scenario_Calc!M64)*(1+$B$6)</f>
        <v>201.516780607334</v>
      </c>
      <c r="F64" s="37" t="n">
        <f aca="false">IF($B$3="Petrol",Forecast_Data!B45,IF(Forecast_Data!G45="","",Forecast_Data!G45))</f>
        <v>169.147270502894</v>
      </c>
      <c r="G64" s="37" t="n">
        <f aca="false">IF($B$3="Petrol",Forecast_Data!C45,IF(Forecast_Data!H45="","",Forecast_Data!H45))</f>
        <v>122.083083776269</v>
      </c>
      <c r="H64" s="37" t="n">
        <f aca="false">IF($B$3="Petrol",Forecast_Data!D45,IF(Forecast_Data!I45="","",Forecast_Data!I45))</f>
        <v>216.211457229518</v>
      </c>
    </row>
    <row r="65" customFormat="false" ht="15" hidden="false" customHeight="false" outlineLevel="0" collapsed="false">
      <c r="A65" s="36" t="n">
        <f aca="false">Forecast_Data!A46</f>
        <v>47635</v>
      </c>
      <c r="B65" s="17" t="n">
        <f aca="false">(ROW()-ROW($A$20))/12</f>
        <v>3.75</v>
      </c>
      <c r="C65" s="34" t="n">
        <f aca="false">(Scenario_Calc!N65+Scenario_Calc!K65)*(1+$B$6)</f>
        <v>151.4839679781</v>
      </c>
      <c r="D65" s="34" t="n">
        <f aca="false">(Scenario_Calc!O65+Scenario_Calc!L65)*(1+$B$6)</f>
        <v>180.331288366057</v>
      </c>
      <c r="E65" s="34" t="n">
        <f aca="false">(Scenario_Calc!P65+Scenario_Calc!M65)*(1+$B$6)</f>
        <v>201.613934915276</v>
      </c>
      <c r="F65" s="37" t="n">
        <f aca="false">IF($B$3="Petrol",Forecast_Data!B46,IF(Forecast_Data!G46="","",Forecast_Data!G46))</f>
        <v>169.147270502125</v>
      </c>
      <c r="G65" s="37" t="n">
        <f aca="false">IF($B$3="Petrol",Forecast_Data!C46,IF(Forecast_Data!H46="","",Forecast_Data!H46))</f>
        <v>121.549297890512</v>
      </c>
      <c r="H65" s="37" t="n">
        <f aca="false">IF($B$3="Petrol",Forecast_Data!D46,IF(Forecast_Data!I46="","",Forecast_Data!I46))</f>
        <v>216.745243113739</v>
      </c>
    </row>
    <row r="66" customFormat="false" ht="15" hidden="false" customHeight="false" outlineLevel="0" collapsed="false">
      <c r="A66" s="36" t="n">
        <f aca="false">Forecast_Data!A47</f>
        <v>47665</v>
      </c>
      <c r="B66" s="17" t="n">
        <f aca="false">(ROW()-ROW($A$20))/12</f>
        <v>3.83333333333333</v>
      </c>
      <c r="C66" s="34" t="n">
        <f aca="false">(Scenario_Calc!N66+Scenario_Calc!K66)*(1+$B$6)</f>
        <v>151.58128274428</v>
      </c>
      <c r="D66" s="34" t="n">
        <f aca="false">(Scenario_Calc!O66+Scenario_Calc!L66)*(1+$B$6)</f>
        <v>180.428603132237</v>
      </c>
      <c r="E66" s="34" t="n">
        <f aca="false">(Scenario_Calc!P66+Scenario_Calc!M66)*(1+$B$6)</f>
        <v>201.711249681456</v>
      </c>
      <c r="F66" s="37" t="n">
        <f aca="false">IF($B$3="Petrol",Forecast_Data!B47,IF(Forecast_Data!G47="","",Forecast_Data!G47))</f>
        <v>169.147270505523</v>
      </c>
      <c r="G66" s="37" t="n">
        <f aca="false">IF($B$3="Petrol",Forecast_Data!C47,IF(Forecast_Data!H47="","",Forecast_Data!H47))</f>
        <v>121.021432111068</v>
      </c>
      <c r="H66" s="37" t="n">
        <f aca="false">IF($B$3="Petrol",Forecast_Data!D47,IF(Forecast_Data!I47="","",Forecast_Data!I47))</f>
        <v>217.273108899979</v>
      </c>
    </row>
    <row r="67" customFormat="false" ht="15" hidden="false" customHeight="false" outlineLevel="0" collapsed="false">
      <c r="A67" s="36" t="n">
        <f aca="false">Forecast_Data!A48</f>
        <v>47696</v>
      </c>
      <c r="B67" s="17" t="n">
        <f aca="false">(ROW()-ROW($A$20))/12</f>
        <v>3.91666666666667</v>
      </c>
      <c r="C67" s="34" t="n">
        <f aca="false">(Scenario_Calc!N67+Scenario_Calc!K67)*(1+$B$6)</f>
        <v>151.678758233709</v>
      </c>
      <c r="D67" s="34" t="n">
        <f aca="false">(Scenario_Calc!O67+Scenario_Calc!L67)*(1+$B$6)</f>
        <v>180.526078621666</v>
      </c>
      <c r="E67" s="34" t="n">
        <f aca="false">(Scenario_Calc!P67+Scenario_Calc!M67)*(1+$B$6)</f>
        <v>201.808725170885</v>
      </c>
      <c r="F67" s="37" t="n">
        <f aca="false">IF($B$3="Petrol",Forecast_Data!B48,IF(Forecast_Data!G48="","",Forecast_Data!G48))</f>
        <v>169.147270505495</v>
      </c>
      <c r="G67" s="37" t="n">
        <f aca="false">IF($B$3="Petrol",Forecast_Data!C48,IF(Forecast_Data!H48="","",Forecast_Data!H48))</f>
        <v>120.499293716982</v>
      </c>
      <c r="H67" s="37" t="n">
        <f aca="false">IF($B$3="Petrol",Forecast_Data!D48,IF(Forecast_Data!I48="","",Forecast_Data!I48))</f>
        <v>217.795247294009</v>
      </c>
    </row>
    <row r="68" customFormat="false" ht="15" hidden="false" customHeight="false" outlineLevel="0" collapsed="false">
      <c r="A68" s="36" t="n">
        <f aca="false">Forecast_Data!A49</f>
        <v>47727</v>
      </c>
      <c r="B68" s="17" t="n">
        <f aca="false">(ROW()-ROW($A$20))/12</f>
        <v>4</v>
      </c>
      <c r="C68" s="34" t="n">
        <f aca="false">(Scenario_Calc!N68+Scenario_Calc!K68)*(1+$B$6)</f>
        <v>151.776394711833</v>
      </c>
      <c r="D68" s="34" t="n">
        <f aca="false">(Scenario_Calc!O68+Scenario_Calc!L68)*(1+$B$6)</f>
        <v>180.62371509979</v>
      </c>
      <c r="E68" s="34" t="n">
        <f aca="false">(Scenario_Calc!P68+Scenario_Calc!M68)*(1+$B$6)</f>
        <v>201.906361649009</v>
      </c>
      <c r="F68" s="37" t="n">
        <f aca="false">IF($B$3="Petrol",Forecast_Data!B49,IF(Forecast_Data!G49="","",Forecast_Data!G49))</f>
        <v>169.147270504151</v>
      </c>
      <c r="G68" s="37" t="n">
        <f aca="false">IF($B$3="Petrol",Forecast_Data!C49,IF(Forecast_Data!H49="","",Forecast_Data!H49))</f>
        <v>119.982700231582</v>
      </c>
      <c r="H68" s="37" t="n">
        <f aca="false">IF($B$3="Petrol",Forecast_Data!D49,IF(Forecast_Data!I49="","",Forecast_Data!I49))</f>
        <v>218.31184077672</v>
      </c>
    </row>
    <row r="69" customFormat="false" ht="15" hidden="false" customHeight="false" outlineLevel="0" collapsed="false">
      <c r="A69" s="36" t="n">
        <f aca="false">Forecast_Data!A50</f>
        <v>47757</v>
      </c>
      <c r="B69" s="17" t="n">
        <f aca="false">(ROW()-ROW($A$20))/12</f>
        <v>4.08333333333333</v>
      </c>
      <c r="C69" s="34" t="n">
        <f aca="false">(Scenario_Calc!N69+Scenario_Calc!K69)*(1+$B$6)</f>
        <v>151.874192444539</v>
      </c>
      <c r="D69" s="34" t="n">
        <f aca="false">(Scenario_Calc!O69+Scenario_Calc!L69)*(1+$B$6)</f>
        <v>180.721512832495</v>
      </c>
      <c r="E69" s="34" t="n">
        <f aca="false">(Scenario_Calc!P69+Scenario_Calc!M69)*(1+$B$6)</f>
        <v>202.004159381714</v>
      </c>
      <c r="F69" s="37" t="n">
        <f aca="false">IF($B$3="Petrol",Forecast_Data!B50,IF(Forecast_Data!G50="","",Forecast_Data!G50))</f>
        <v>169.147270504294</v>
      </c>
      <c r="G69" s="37" t="n">
        <f aca="false">IF($B$3="Petrol",Forecast_Data!C50,IF(Forecast_Data!H50="","",Forecast_Data!H50))</f>
        <v>119.471478668135</v>
      </c>
      <c r="H69" s="37" t="n">
        <f aca="false">IF($B$3="Petrol",Forecast_Data!D50,IF(Forecast_Data!I50="","",Forecast_Data!I50))</f>
        <v>218.823062340452</v>
      </c>
    </row>
    <row r="70" customFormat="false" ht="15" hidden="false" customHeight="false" outlineLevel="0" collapsed="false">
      <c r="A70" s="36" t="n">
        <f aca="false">Forecast_Data!A51</f>
        <v>47788</v>
      </c>
      <c r="B70" s="17" t="n">
        <f aca="false">(ROW()-ROW($A$20))/12</f>
        <v>4.16666666666667</v>
      </c>
      <c r="C70" s="34" t="n">
        <f aca="false">(Scenario_Calc!N70+Scenario_Calc!K70)*(1+$B$6)</f>
        <v>151.972151698151</v>
      </c>
      <c r="D70" s="34" t="n">
        <f aca="false">(Scenario_Calc!O70+Scenario_Calc!L70)*(1+$B$6)</f>
        <v>180.819472086108</v>
      </c>
      <c r="E70" s="34" t="n">
        <f aca="false">(Scenario_Calc!P70+Scenario_Calc!M70)*(1+$B$6)</f>
        <v>202.102118635327</v>
      </c>
      <c r="F70" s="37" t="n">
        <f aca="false">IF($B$3="Petrol",Forecast_Data!B51,IF(Forecast_Data!G51="","",Forecast_Data!G51))</f>
        <v>169.147270504813</v>
      </c>
      <c r="G70" s="37" t="n">
        <f aca="false">IF($B$3="Petrol",Forecast_Data!C51,IF(Forecast_Data!H51="","",Forecast_Data!H51))</f>
        <v>118.965464847747</v>
      </c>
      <c r="H70" s="37" t="n">
        <f aca="false">IF($B$3="Petrol",Forecast_Data!D51,IF(Forecast_Data!I51="","",Forecast_Data!I51))</f>
        <v>219.329076161879</v>
      </c>
    </row>
    <row r="71" customFormat="false" ht="15" hidden="false" customHeight="false" outlineLevel="0" collapsed="false">
      <c r="A71" s="36" t="n">
        <f aca="false">Forecast_Data!A52</f>
        <v>47818</v>
      </c>
      <c r="B71" s="17" t="n">
        <f aca="false">(ROW()-ROW($A$20))/12</f>
        <v>4.25</v>
      </c>
      <c r="C71" s="34" t="n">
        <f aca="false">(Scenario_Calc!N71+Scenario_Calc!K71)*(1+$B$6)</f>
        <v>152.070272739435</v>
      </c>
      <c r="D71" s="34" t="n">
        <f aca="false">(Scenario_Calc!O71+Scenario_Calc!L71)*(1+$B$6)</f>
        <v>180.917593127392</v>
      </c>
      <c r="E71" s="34" t="n">
        <f aca="false">(Scenario_Calc!P71+Scenario_Calc!M71)*(1+$B$6)</f>
        <v>202.200239676611</v>
      </c>
      <c r="F71" s="37" t="n">
        <f aca="false">IF($B$3="Petrol",Forecast_Data!B52,IF(Forecast_Data!G52="","",Forecast_Data!G52))</f>
        <v>169.147270504705</v>
      </c>
      <c r="G71" s="37" t="n">
        <f aca="false">IF($B$3="Petrol",Forecast_Data!C52,IF(Forecast_Data!H52="","",Forecast_Data!H52))</f>
        <v>118.464502787644</v>
      </c>
      <c r="H71" s="37" t="n">
        <f aca="false">IF($B$3="Petrol",Forecast_Data!D52,IF(Forecast_Data!I52="","",Forecast_Data!I52))</f>
        <v>219.830038221767</v>
      </c>
    </row>
    <row r="72" customFormat="false" ht="15" hidden="false" customHeight="false" outlineLevel="0" collapsed="false">
      <c r="A72" s="36" t="n">
        <f aca="false">Forecast_Data!A53</f>
        <v>47849</v>
      </c>
      <c r="B72" s="17" t="n">
        <f aca="false">(ROW()-ROW($A$20))/12</f>
        <v>4.33333333333333</v>
      </c>
      <c r="C72" s="34" t="n">
        <f aca="false">(Scenario_Calc!N72+Scenario_Calc!K72)*(1+$B$6)</f>
        <v>153.406818907551</v>
      </c>
      <c r="D72" s="34" t="n">
        <f aca="false">(Scenario_Calc!O72+Scenario_Calc!L72)*(1+$B$6)</f>
        <v>183.221532320472</v>
      </c>
      <c r="E72" s="34" t="n">
        <f aca="false">(Scenario_Calc!P72+Scenario_Calc!M72)*(1+$B$6)</f>
        <v>204.2720045437</v>
      </c>
      <c r="F72" s="37" t="n">
        <f aca="false">IF($B$3="Petrol",Forecast_Data!B53,IF(Forecast_Data!G53="","",Forecast_Data!G53))</f>
        <v>169.14727050451</v>
      </c>
      <c r="G72" s="37" t="n">
        <f aca="false">IF($B$3="Petrol",Forecast_Data!C53,IF(Forecast_Data!H53="","",Forecast_Data!H53))</f>
        <v>117.96844414123</v>
      </c>
      <c r="H72" s="37" t="n">
        <f aca="false">IF($B$3="Petrol",Forecast_Data!D53,IF(Forecast_Data!I53="","",Forecast_Data!I53))</f>
        <v>220.32609686779</v>
      </c>
    </row>
    <row r="73" customFormat="false" ht="15" hidden="false" customHeight="false" outlineLevel="0" collapsed="false">
      <c r="A73" s="36" t="n">
        <f aca="false">Forecast_Data!A54</f>
        <v>47880</v>
      </c>
      <c r="B73" s="17" t="n">
        <f aca="false">(ROW()-ROW($A$20))/12</f>
        <v>4.41666666666667</v>
      </c>
      <c r="C73" s="34" t="n">
        <f aca="false">(Scenario_Calc!N73+Scenario_Calc!K73)*(1+$B$6)</f>
        <v>153.505264326236</v>
      </c>
      <c r="D73" s="34" t="n">
        <f aca="false">(Scenario_Calc!O73+Scenario_Calc!L73)*(1+$B$6)</f>
        <v>183.319977739157</v>
      </c>
      <c r="E73" s="34" t="n">
        <f aca="false">(Scenario_Calc!P73+Scenario_Calc!M73)*(1+$B$6)</f>
        <v>204.370449962385</v>
      </c>
      <c r="F73" s="37" t="n">
        <f aca="false">IF($B$3="Petrol",Forecast_Data!B54,IF(Forecast_Data!G54="","",Forecast_Data!G54))</f>
        <v>169.147270504572</v>
      </c>
      <c r="G73" s="37" t="n">
        <f aca="false">IF($B$3="Petrol",Forecast_Data!C54,IF(Forecast_Data!H54="","",Forecast_Data!H54))</f>
        <v>117.477147683137</v>
      </c>
      <c r="H73" s="37" t="n">
        <f aca="false">IF($B$3="Petrol",Forecast_Data!D54,IF(Forecast_Data!I54="","",Forecast_Data!I54))</f>
        <v>220.817393326006</v>
      </c>
    </row>
    <row r="74" customFormat="false" ht="15" hidden="false" customHeight="false" outlineLevel="0" collapsed="false">
      <c r="A74" s="36" t="n">
        <f aca="false">Forecast_Data!A55</f>
        <v>47908</v>
      </c>
      <c r="B74" s="17" t="n">
        <f aca="false">(ROW()-ROW($A$20))/12</f>
        <v>4.5</v>
      </c>
      <c r="C74" s="34" t="n">
        <f aca="false">(Scenario_Calc!N74+Scenario_Calc!K74)*(1+$B$6)</f>
        <v>153.603872335534</v>
      </c>
      <c r="D74" s="34" t="n">
        <f aca="false">(Scenario_Calc!O74+Scenario_Calc!L74)*(1+$B$6)</f>
        <v>183.418585748455</v>
      </c>
      <c r="E74" s="34" t="n">
        <f aca="false">(Scenario_Calc!P74+Scenario_Calc!M74)*(1+$B$6)</f>
        <v>204.469057971683</v>
      </c>
      <c r="F74" s="37" t="n">
        <f aca="false">IF($B$3="Petrol",Forecast_Data!B55,IF(Forecast_Data!G55="","",Forecast_Data!G55))</f>
        <v>169.147270504643</v>
      </c>
      <c r="G74" s="37" t="n">
        <f aca="false">IF($B$3="Petrol",Forecast_Data!C55,IF(Forecast_Data!H55="","",Forecast_Data!H55))</f>
        <v>116.990478839123</v>
      </c>
      <c r="H74" s="37" t="n">
        <f aca="false">IF($B$3="Petrol",Forecast_Data!D55,IF(Forecast_Data!I55="","",Forecast_Data!I55))</f>
        <v>221.304062170163</v>
      </c>
    </row>
    <row r="75" customFormat="false" ht="15" hidden="false" customHeight="false" outlineLevel="0" collapsed="false">
      <c r="A75" s="36" t="n">
        <f aca="false">Forecast_Data!A56</f>
        <v>47939</v>
      </c>
      <c r="B75" s="17" t="n">
        <f aca="false">(ROW()-ROW($A$20))/12</f>
        <v>4.58333333333333</v>
      </c>
      <c r="C75" s="34" t="n">
        <f aca="false">(Scenario_Calc!N75+Scenario_Calc!K75)*(1+$B$6)</f>
        <v>153.702643203976</v>
      </c>
      <c r="D75" s="34" t="n">
        <f aca="false">(Scenario_Calc!O75+Scenario_Calc!L75)*(1+$B$6)</f>
        <v>185.478536932605</v>
      </c>
      <c r="E75" s="34" t="n">
        <f aca="false">(Scenario_Calc!P75+Scenario_Calc!M75)*(1+$B$6)</f>
        <v>206.529009155832</v>
      </c>
      <c r="F75" s="37" t="n">
        <f aca="false">IF($B$3="Petrol",Forecast_Data!B56,IF(Forecast_Data!G56="","",Forecast_Data!G56))</f>
        <v>169.147270504612</v>
      </c>
      <c r="G75" s="37" t="n">
        <f aca="false">IF($B$3="Petrol",Forecast_Data!C56,IF(Forecast_Data!H56="","",Forecast_Data!H56))</f>
        <v>116.508309256316</v>
      </c>
      <c r="H75" s="37" t="n">
        <f aca="false">IF($B$3="Petrol",Forecast_Data!D56,IF(Forecast_Data!I56="","",Forecast_Data!I56))</f>
        <v>221.786231752907</v>
      </c>
    </row>
    <row r="76" customFormat="false" ht="15" hidden="false" customHeight="false" outlineLevel="0" collapsed="false">
      <c r="A76" s="36" t="n">
        <f aca="false">Forecast_Data!A57</f>
        <v>47969</v>
      </c>
      <c r="B76" s="17" t="n">
        <f aca="false">(ROW()-ROW($A$20))/12</f>
        <v>4.66666666666667</v>
      </c>
      <c r="C76" s="34" t="n">
        <f aca="false">(Scenario_Calc!N76+Scenario_Calc!K76)*(1+$B$6)</f>
        <v>153.801577200538</v>
      </c>
      <c r="D76" s="34" t="n">
        <f aca="false">(Scenario_Calc!O76+Scenario_Calc!L76)*(1+$B$6)</f>
        <v>185.577470929166</v>
      </c>
      <c r="E76" s="34" t="n">
        <f aca="false">(Scenario_Calc!P76+Scenario_Calc!M76)*(1+$B$6)</f>
        <v>206.627943152394</v>
      </c>
      <c r="F76" s="37" t="n">
        <f aca="false">IF($B$3="Petrol",Forecast_Data!B57,IF(Forecast_Data!G57="","",Forecast_Data!G57))</f>
        <v>169.147270504586</v>
      </c>
      <c r="G76" s="37" t="n">
        <f aca="false">IF($B$3="Petrol",Forecast_Data!C57,IF(Forecast_Data!H57="","",Forecast_Data!H57))</f>
        <v>116.030516407983</v>
      </c>
      <c r="H76" s="37" t="n">
        <f aca="false">IF($B$3="Petrol",Forecast_Data!D57,IF(Forecast_Data!I57="","",Forecast_Data!I57))</f>
        <v>222.26402460119</v>
      </c>
    </row>
    <row r="77" customFormat="false" ht="15" hidden="false" customHeight="false" outlineLevel="0" collapsed="false">
      <c r="A77" s="36" t="n">
        <f aca="false">Forecast_Data!A58</f>
        <v>48000</v>
      </c>
      <c r="B77" s="17" t="n">
        <f aca="false">(ROW()-ROW($A$20))/12</f>
        <v>4.75</v>
      </c>
      <c r="C77" s="34" t="n">
        <f aca="false">(Scenario_Calc!N77+Scenario_Calc!K77)*(1+$B$6)</f>
        <v>153.900674594638</v>
      </c>
      <c r="D77" s="34" t="n">
        <f aca="false">(Scenario_Calc!O77+Scenario_Calc!L77)*(1+$B$6)</f>
        <v>185.676568323267</v>
      </c>
      <c r="E77" s="34" t="n">
        <f aca="false">(Scenario_Calc!P77+Scenario_Calc!M77)*(1+$B$6)</f>
        <v>206.727040546494</v>
      </c>
      <c r="F77" s="37" t="n">
        <f aca="false">IF($B$3="Petrol",Forecast_Data!B58,IF(Forecast_Data!G58="","",Forecast_Data!G58))</f>
        <v>169.147270504601</v>
      </c>
      <c r="G77" s="37" t="n">
        <f aca="false">IF($B$3="Petrol",Forecast_Data!C58,IF(Forecast_Data!H58="","",Forecast_Data!H58))</f>
        <v>115.556983229591</v>
      </c>
      <c r="H77" s="37" t="n">
        <f aca="false">IF($B$3="Petrol",Forecast_Data!D58,IF(Forecast_Data!I58="","",Forecast_Data!I58))</f>
        <v>222.737557779611</v>
      </c>
    </row>
    <row r="78" customFormat="false" ht="15" hidden="false" customHeight="false" outlineLevel="0" collapsed="false">
      <c r="A78" s="36" t="n">
        <f aca="false">Forecast_Data!A59</f>
        <v>48030</v>
      </c>
      <c r="B78" s="17" t="n">
        <f aca="false">(ROW()-ROW($A$20))/12</f>
        <v>4.83333333333333</v>
      </c>
      <c r="C78" s="34" t="n">
        <f aca="false">(Scenario_Calc!N78+Scenario_Calc!K78)*(1+$B$6)</f>
        <v>153.999935656142</v>
      </c>
      <c r="D78" s="34" t="n">
        <f aca="false">(Scenario_Calc!O78+Scenario_Calc!L78)*(1+$B$6)</f>
        <v>185.775829384771</v>
      </c>
      <c r="E78" s="34" t="n">
        <f aca="false">(Scenario_Calc!P78+Scenario_Calc!M78)*(1+$B$6)</f>
        <v>206.826301607998</v>
      </c>
      <c r="F78" s="37" t="n">
        <f aca="false">IF($B$3="Petrol",Forecast_Data!B59,IF(Forecast_Data!G59="","",Forecast_Data!G59))</f>
        <v>169.14727050461</v>
      </c>
      <c r="G78" s="37" t="n">
        <f aca="false">IF($B$3="Petrol",Forecast_Data!C59,IF(Forecast_Data!H59="","",Forecast_Data!H59))</f>
        <v>115.087597783837</v>
      </c>
      <c r="H78" s="37" t="n">
        <f aca="false">IF($B$3="Petrol",Forecast_Data!D59,IF(Forecast_Data!I59="","",Forecast_Data!I59))</f>
        <v>223.206943225383</v>
      </c>
    </row>
    <row r="79" customFormat="false" ht="15" hidden="false" customHeight="false" outlineLevel="0" collapsed="false">
      <c r="A79" s="36" t="n">
        <f aca="false">Forecast_Data!A60</f>
        <v>48061</v>
      </c>
      <c r="B79" s="17" t="n">
        <f aca="false">(ROW()-ROW($A$20))/12</f>
        <v>4.91666666666667</v>
      </c>
      <c r="C79" s="34" t="n">
        <f aca="false">(Scenario_Calc!N79+Scenario_Calc!K79)*(1+$B$6)</f>
        <v>154.099360655359</v>
      </c>
      <c r="D79" s="34" t="n">
        <f aca="false">(Scenario_Calc!O79+Scenario_Calc!L79)*(1+$B$6)</f>
        <v>185.875254383987</v>
      </c>
      <c r="E79" s="34" t="n">
        <f aca="false">(Scenario_Calc!P79+Scenario_Calc!M79)*(1+$B$6)</f>
        <v>206.925726607215</v>
      </c>
      <c r="F79" s="37" t="n">
        <f aca="false">IF($B$3="Petrol",Forecast_Data!B60,IF(Forecast_Data!G60="","",Forecast_Data!G60))</f>
        <v>169.147270504603</v>
      </c>
      <c r="G79" s="37" t="n">
        <f aca="false">IF($B$3="Petrol",Forecast_Data!C60,IF(Forecast_Data!H60="","",Forecast_Data!H60))</f>
        <v>114.622252951775</v>
      </c>
      <c r="H79" s="37" t="n">
        <f aca="false">IF($B$3="Petrol",Forecast_Data!D60,IF(Forecast_Data!I60="","",Forecast_Data!I60))</f>
        <v>223.672288057432</v>
      </c>
    </row>
    <row r="80" customFormat="false" ht="15" hidden="false" customHeight="false" outlineLevel="0" collapsed="false">
      <c r="A80" s="36" t="n">
        <f aca="false">Forecast_Data!A61</f>
        <v>48092</v>
      </c>
      <c r="B80" s="17" t="n">
        <f aca="false">(ROW()-ROW($A$20))/12</f>
        <v>5</v>
      </c>
      <c r="C80" s="34" t="n">
        <f aca="false">(Scenario_Calc!N80+Scenario_Calc!K80)*(1+$B$6)</f>
        <v>154.198949863045</v>
      </c>
      <c r="D80" s="34" t="n">
        <f aca="false">(Scenario_Calc!O80+Scenario_Calc!L80)*(1+$B$6)</f>
        <v>185.974843591674</v>
      </c>
      <c r="E80" s="34" t="n">
        <f aca="false">(Scenario_Calc!P80+Scenario_Calc!M80)*(1+$B$6)</f>
        <v>207.025315814902</v>
      </c>
      <c r="F80" s="37" t="n">
        <f aca="false">IF($B$3="Petrol",Forecast_Data!B61,IF(Forecast_Data!G61="","",Forecast_Data!G61))</f>
        <v>169.1472705046</v>
      </c>
      <c r="G80" s="37" t="n">
        <f aca="false">IF($B$3="Petrol",Forecast_Data!C61,IF(Forecast_Data!H61="","",Forecast_Data!H61))</f>
        <v>114.160846147352</v>
      </c>
      <c r="H80" s="37" t="n">
        <f aca="false">IF($B$3="Petrol",Forecast_Data!D61,IF(Forecast_Data!I61="","",Forecast_Data!I61))</f>
        <v>224.133694861849</v>
      </c>
    </row>
    <row r="81" customFormat="false" ht="15" hidden="false" customHeight="false" outlineLevel="0" collapsed="false">
      <c r="A81" s="36" t="n">
        <f aca="false">Forecast_Data!A62</f>
        <v>48122</v>
      </c>
      <c r="B81" s="17" t="n">
        <f aca="false">(ROW()-ROW($A$20))/12</f>
        <v>5.08333333333333</v>
      </c>
      <c r="C81" s="34" t="n">
        <f aca="false">(Scenario_Calc!N81+Scenario_Calc!K81)*(1+$B$6)</f>
        <v>154.298703550405</v>
      </c>
      <c r="D81" s="34" t="n">
        <f aca="false">(Scenario_Calc!O81+Scenario_Calc!L81)*(1+$B$6)</f>
        <v>186.074597279034</v>
      </c>
      <c r="E81" s="34" t="n">
        <f aca="false">(Scenario_Calc!P81+Scenario_Calc!M81)*(1+$B$6)</f>
        <v>207.125069502261</v>
      </c>
      <c r="F81" s="37" t="n">
        <f aca="false">IF($B$3="Petrol",Forecast_Data!B62,IF(Forecast_Data!G62="","",Forecast_Data!G62))</f>
        <v>169.147270504603</v>
      </c>
      <c r="G81" s="37" t="n">
        <f aca="false">IF($B$3="Petrol",Forecast_Data!C62,IF(Forecast_Data!H62="","",Forecast_Data!H62))</f>
        <v>113.703279053279</v>
      </c>
      <c r="H81" s="37" t="n">
        <f aca="false">IF($B$3="Petrol",Forecast_Data!D62,IF(Forecast_Data!I62="","",Forecast_Data!I62))</f>
        <v>224.591261955928</v>
      </c>
    </row>
    <row r="82" customFormat="false" ht="15" hidden="false" customHeight="false" outlineLevel="0" collapsed="false">
      <c r="A82" s="36" t="n">
        <f aca="false">Forecast_Data!A63</f>
        <v>48153</v>
      </c>
      <c r="B82" s="17" t="n">
        <f aca="false">(ROW()-ROW($A$20))/12</f>
        <v>5.16666666666667</v>
      </c>
      <c r="C82" s="34" t="n">
        <f aca="false">(Scenario_Calc!N82+Scenario_Calc!K82)*(1+$B$6)</f>
        <v>154.39862198909</v>
      </c>
      <c r="D82" s="34" t="n">
        <f aca="false">(Scenario_Calc!O82+Scenario_Calc!L82)*(1+$B$6)</f>
        <v>186.174515717719</v>
      </c>
      <c r="E82" s="34" t="n">
        <f aca="false">(Scenario_Calc!P82+Scenario_Calc!M82)*(1+$B$6)</f>
        <v>207.224987940946</v>
      </c>
      <c r="F82" s="37" t="n">
        <f aca="false">IF($B$3="Petrol",Forecast_Data!B63,IF(Forecast_Data!G63="","",Forecast_Data!G63))</f>
        <v>169.147270504604</v>
      </c>
      <c r="G82" s="37" t="n">
        <f aca="false">IF($B$3="Petrol",Forecast_Data!C63,IF(Forecast_Data!H63="","",Forecast_Data!H63))</f>
        <v>113.249457376418</v>
      </c>
      <c r="H82" s="37" t="n">
        <f aca="false">IF($B$3="Petrol",Forecast_Data!D63,IF(Forecast_Data!I63="","",Forecast_Data!I63))</f>
        <v>225.04508363279</v>
      </c>
    </row>
    <row r="83" customFormat="false" ht="15" hidden="false" customHeight="false" outlineLevel="0" collapsed="false">
      <c r="A83" s="36" t="n">
        <f aca="false">Forecast_Data!A64</f>
        <v>48183</v>
      </c>
      <c r="B83" s="17" t="n">
        <f aca="false">(ROW()-ROW($A$20))/12</f>
        <v>5.25</v>
      </c>
      <c r="C83" s="34" t="n">
        <f aca="false">(Scenario_Calc!N83+Scenario_Calc!K83)*(1+$B$6)</f>
        <v>154.4987054512</v>
      </c>
      <c r="D83" s="34" t="n">
        <f aca="false">(Scenario_Calc!O83+Scenario_Calc!L83)*(1+$B$6)</f>
        <v>186.274599179828</v>
      </c>
      <c r="E83" s="34" t="n">
        <f aca="false">(Scenario_Calc!P83+Scenario_Calc!M83)*(1+$B$6)</f>
        <v>207.325071403056</v>
      </c>
      <c r="F83" s="37" t="n">
        <f aca="false">IF($B$3="Petrol",Forecast_Data!B64,IF(Forecast_Data!G64="","",Forecast_Data!G64))</f>
        <v>169.147270504603</v>
      </c>
      <c r="G83" s="37" t="n">
        <f aca="false">IF($B$3="Petrol",Forecast_Data!C64,IF(Forecast_Data!H64="","",Forecast_Data!H64))</f>
        <v>112.799290620913</v>
      </c>
      <c r="H83" s="37" t="n">
        <f aca="false">IF($B$3="Petrol",Forecast_Data!D64,IF(Forecast_Data!I64="","",Forecast_Data!I64))</f>
        <v>225.495250388293</v>
      </c>
    </row>
    <row r="84" customFormat="false" ht="15" hidden="false" customHeight="false" outlineLevel="0" collapsed="false">
      <c r="A84" s="36" t="n">
        <f aca="false">Forecast_Data!A65</f>
        <v>48214</v>
      </c>
      <c r="B84" s="17" t="n">
        <f aca="false">(ROW()-ROW($A$20))/12</f>
        <v>5.33333333333333</v>
      </c>
      <c r="C84" s="34" t="n">
        <f aca="false">(Scenario_Calc!N84+Scenario_Calc!K84)*(1+$B$6)</f>
        <v>155.875139087817</v>
      </c>
      <c r="D84" s="34" t="n">
        <f aca="false">(Scenario_Calc!O84+Scenario_Calc!L84)*(1+$B$6)</f>
        <v>187.979946444934</v>
      </c>
      <c r="E84" s="34" t="n">
        <f aca="false">(Scenario_Calc!P84+Scenario_Calc!M84)*(1+$B$6)</f>
        <v>210.122411914741</v>
      </c>
      <c r="F84" s="37" t="n">
        <f aca="false">IF($B$3="Petrol",Forecast_Data!B65,IF(Forecast_Data!G65="","",Forecast_Data!G65))</f>
        <v>169.147270504603</v>
      </c>
      <c r="G84" s="37" t="n">
        <f aca="false">IF($B$3="Petrol",Forecast_Data!C65,IF(Forecast_Data!H65="","",Forecast_Data!H65))</f>
        <v>112.352691877485</v>
      </c>
      <c r="H84" s="37" t="n">
        <f aca="false">IF($B$3="Petrol",Forecast_Data!D65,IF(Forecast_Data!I65="","",Forecast_Data!I65))</f>
        <v>225.941849131721</v>
      </c>
    </row>
    <row r="85" customFormat="false" ht="15" hidden="false" customHeight="false" outlineLevel="0" collapsed="false">
      <c r="A85" s="36" t="n">
        <f aca="false">Forecast_Data!A66</f>
        <v>48245</v>
      </c>
      <c r="B85" s="17" t="n">
        <f aca="false">(ROW()-ROW($A$20))/12</f>
        <v>5.41666666666667</v>
      </c>
      <c r="C85" s="34" t="n">
        <f aca="false">(Scenario_Calc!N85+Scenario_Calc!K85)*(1+$B$6)</f>
        <v>155.975553414876</v>
      </c>
      <c r="D85" s="34" t="n">
        <f aca="false">(Scenario_Calc!O85+Scenario_Calc!L85)*(1+$B$6)</f>
        <v>188.080360771993</v>
      </c>
      <c r="E85" s="34" t="n">
        <f aca="false">(Scenario_Calc!P85+Scenario_Calc!M85)*(1+$B$6)</f>
        <v>210.2228262418</v>
      </c>
      <c r="F85" s="37" t="n">
        <f aca="false">IF($B$3="Petrol",Forecast_Data!B66,IF(Forecast_Data!G66="","",Forecast_Data!G66))</f>
        <v>169.147270504603</v>
      </c>
      <c r="G85" s="37" t="n">
        <f aca="false">IF($B$3="Petrol",Forecast_Data!C66,IF(Forecast_Data!H66="","",Forecast_Data!H66))</f>
        <v>111.909577627523</v>
      </c>
      <c r="H85" s="37" t="n">
        <f aca="false">IF($B$3="Petrol",Forecast_Data!D66,IF(Forecast_Data!I66="","",Forecast_Data!I66))</f>
        <v>226.384963381684</v>
      </c>
    </row>
    <row r="86" customFormat="false" ht="15" hidden="false" customHeight="false" outlineLevel="0" collapsed="false">
      <c r="A86" s="36" t="n">
        <f aca="false">Forecast_Data!A67</f>
        <v>48274</v>
      </c>
      <c r="B86" s="17" t="n">
        <f aca="false">(ROW()-ROW($A$20))/12</f>
        <v>5.5</v>
      </c>
      <c r="C86" s="34" t="n">
        <f aca="false">(Scenario_Calc!N86+Scenario_Calc!K86)*(1+$B$6)</f>
        <v>156.07613358436</v>
      </c>
      <c r="D86" s="34" t="n">
        <f aca="false">(Scenario_Calc!O86+Scenario_Calc!L86)*(1+$B$6)</f>
        <v>188.180940941476</v>
      </c>
      <c r="E86" s="34" t="n">
        <f aca="false">(Scenario_Calc!P86+Scenario_Calc!M86)*(1+$B$6)</f>
        <v>210.323406411284</v>
      </c>
      <c r="F86" s="37" t="n">
        <f aca="false">IF($B$3="Petrol",Forecast_Data!B67,IF(Forecast_Data!G67="","",Forecast_Data!G67))</f>
        <v>169.147270504603</v>
      </c>
      <c r="G86" s="37" t="n">
        <f aca="false">IF($B$3="Petrol",Forecast_Data!C67,IF(Forecast_Data!H67="","",Forecast_Data!H67))</f>
        <v>111.469867560728</v>
      </c>
      <c r="H86" s="37" t="n">
        <f aca="false">IF($B$3="Petrol",Forecast_Data!D67,IF(Forecast_Data!I67="","",Forecast_Data!I67))</f>
        <v>226.824673448478</v>
      </c>
    </row>
    <row r="87" customFormat="false" ht="15" hidden="false" customHeight="false" outlineLevel="0" collapsed="false">
      <c r="A87" s="36" t="n">
        <f aca="false">Forecast_Data!A68</f>
        <v>48305</v>
      </c>
      <c r="B87" s="17" t="n">
        <f aca="false">(ROW()-ROW($A$20))/12</f>
        <v>5.58333333333333</v>
      </c>
      <c r="C87" s="34" t="n">
        <f aca="false">(Scenario_Calc!N87+Scenario_Calc!K87)*(1+$B$6)</f>
        <v>156.176879870171</v>
      </c>
      <c r="D87" s="34" t="n">
        <f aca="false">(Scenario_Calc!O87+Scenario_Calc!L87)*(1+$B$6)</f>
        <v>190.292877641045</v>
      </c>
      <c r="E87" s="34" t="n">
        <f aca="false">(Scenario_Calc!P87+Scenario_Calc!M87)*(1+$B$6)</f>
        <v>212.435343110853</v>
      </c>
      <c r="F87" s="37" t="n">
        <f aca="false">IF($B$3="Petrol",Forecast_Data!B68,IF(Forecast_Data!G68="","",Forecast_Data!G68))</f>
        <v>169.147270504603</v>
      </c>
      <c r="G87" s="37" t="n">
        <f aca="false">IF($B$3="Petrol",Forecast_Data!C68,IF(Forecast_Data!H68="","",Forecast_Data!H68))</f>
        <v>111.033484405182</v>
      </c>
      <c r="H87" s="37" t="n">
        <f aca="false">IF($B$3="Petrol",Forecast_Data!D68,IF(Forecast_Data!I68="","",Forecast_Data!I68))</f>
        <v>227.261056604024</v>
      </c>
    </row>
    <row r="88" customFormat="false" ht="15" hidden="false" customHeight="false" outlineLevel="0" collapsed="false">
      <c r="A88" s="36" t="n">
        <f aca="false">Forecast_Data!A69</f>
        <v>48335</v>
      </c>
      <c r="B88" s="17" t="n">
        <f aca="false">(ROW()-ROW($A$20))/12</f>
        <v>5.66666666666667</v>
      </c>
      <c r="C88" s="34" t="n">
        <f aca="false">(Scenario_Calc!N88+Scenario_Calc!K88)*(1+$B$6)</f>
        <v>156.277792546664</v>
      </c>
      <c r="D88" s="34" t="n">
        <f aca="false">(Scenario_Calc!O88+Scenario_Calc!L88)*(1+$B$6)</f>
        <v>190.393790317538</v>
      </c>
      <c r="E88" s="34" t="n">
        <f aca="false">(Scenario_Calc!P88+Scenario_Calc!M88)*(1+$B$6)</f>
        <v>212.536255787346</v>
      </c>
      <c r="F88" s="37" t="n">
        <f aca="false">IF($B$3="Petrol",Forecast_Data!B69,IF(Forecast_Data!G69="","",Forecast_Data!G69))</f>
        <v>169.147270504603</v>
      </c>
      <c r="G88" s="37" t="n">
        <f aca="false">IF($B$3="Petrol",Forecast_Data!C69,IF(Forecast_Data!H69="","",Forecast_Data!H69))</f>
        <v>110.600353768806</v>
      </c>
      <c r="H88" s="37" t="n">
        <f aca="false">IF($B$3="Petrol",Forecast_Data!D69,IF(Forecast_Data!I69="","",Forecast_Data!I69))</f>
        <v>227.6941872404</v>
      </c>
    </row>
    <row r="89" customFormat="false" ht="15" hidden="false" customHeight="false" outlineLevel="0" collapsed="false">
      <c r="A89" s="36" t="n">
        <f aca="false">Forecast_Data!A70</f>
        <v>48366</v>
      </c>
      <c r="B89" s="17" t="n">
        <f aca="false">(ROW()-ROW($A$20))/12</f>
        <v>5.75</v>
      </c>
      <c r="C89" s="34" t="n">
        <f aca="false">(Scenario_Calc!N89+Scenario_Calc!K89)*(1+$B$6)</f>
        <v>156.378871888646</v>
      </c>
      <c r="D89" s="34" t="n">
        <f aca="false">(Scenario_Calc!O89+Scenario_Calc!L89)*(1+$B$6)</f>
        <v>190.494869659521</v>
      </c>
      <c r="E89" s="34" t="n">
        <f aca="false">(Scenario_Calc!P89+Scenario_Calc!M89)*(1+$B$6)</f>
        <v>212.637335129328</v>
      </c>
      <c r="F89" s="37" t="n">
        <f aca="false">IF($B$3="Petrol",Forecast_Data!B70,IF(Forecast_Data!G70="","",Forecast_Data!G70))</f>
        <v>169.147270504603</v>
      </c>
      <c r="G89" s="37" t="n">
        <f aca="false">IF($B$3="Petrol",Forecast_Data!C70,IF(Forecast_Data!H70="","",Forecast_Data!H70))</f>
        <v>110.170403991304</v>
      </c>
      <c r="H89" s="37" t="n">
        <f aca="false">IF($B$3="Petrol",Forecast_Data!D70,IF(Forecast_Data!I70="","",Forecast_Data!I70))</f>
        <v>228.124137017902</v>
      </c>
    </row>
    <row r="90" customFormat="false" ht="15" hidden="false" customHeight="false" outlineLevel="0" collapsed="false">
      <c r="A90" s="36" t="n">
        <f aca="false">Forecast_Data!A71</f>
        <v>48396</v>
      </c>
      <c r="B90" s="17" t="n">
        <f aca="false">(ROW()-ROW($A$20))/12</f>
        <v>5.83333333333333</v>
      </c>
      <c r="C90" s="34" t="n">
        <f aca="false">(Scenario_Calc!N90+Scenario_Calc!K90)*(1+$B$6)</f>
        <v>156.48011817138</v>
      </c>
      <c r="D90" s="34" t="n">
        <f aca="false">(Scenario_Calc!O90+Scenario_Calc!L90)*(1+$B$6)</f>
        <v>190.596115942255</v>
      </c>
      <c r="E90" s="34" t="n">
        <f aca="false">(Scenario_Calc!P90+Scenario_Calc!M90)*(1+$B$6)</f>
        <v>212.738581412062</v>
      </c>
      <c r="F90" s="37" t="n">
        <f aca="false">IF($B$3="Petrol",Forecast_Data!B71,IF(Forecast_Data!G71="","",Forecast_Data!G71))</f>
        <v>169.147270504603</v>
      </c>
      <c r="G90" s="37" t="n">
        <f aca="false">IF($B$3="Petrol",Forecast_Data!C71,IF(Forecast_Data!H71="","",Forecast_Data!H71))</f>
        <v>109.743566005754</v>
      </c>
      <c r="H90" s="37" t="n">
        <f aca="false">IF($B$3="Petrol",Forecast_Data!D71,IF(Forecast_Data!I71="","",Forecast_Data!I71))</f>
        <v>228.550975003453</v>
      </c>
    </row>
    <row r="91" customFormat="false" ht="15" hidden="false" customHeight="false" outlineLevel="0" collapsed="false">
      <c r="A91" s="36" t="n">
        <f aca="false">Forecast_Data!A72</f>
        <v>48427</v>
      </c>
      <c r="B91" s="17" t="n">
        <f aca="false">(ROW()-ROW($A$20))/12</f>
        <v>5.91666666666667</v>
      </c>
      <c r="C91" s="34" t="n">
        <f aca="false">(Scenario_Calc!N91+Scenario_Calc!K91)*(1+$B$6)</f>
        <v>156.581531670581</v>
      </c>
      <c r="D91" s="34" t="n">
        <f aca="false">(Scenario_Calc!O91+Scenario_Calc!L91)*(1+$B$6)</f>
        <v>190.697529441456</v>
      </c>
      <c r="E91" s="34" t="n">
        <f aca="false">(Scenario_Calc!P91+Scenario_Calc!M91)*(1+$B$6)</f>
        <v>212.839994911263</v>
      </c>
      <c r="F91" s="37" t="n">
        <f aca="false">IF($B$3="Petrol",Forecast_Data!B72,IF(Forecast_Data!G72="","",Forecast_Data!G72))</f>
        <v>169.147270504603</v>
      </c>
      <c r="G91" s="37" t="n">
        <f aca="false">IF($B$3="Petrol",Forecast_Data!C72,IF(Forecast_Data!H72="","",Forecast_Data!H72))</f>
        <v>109.319773209081</v>
      </c>
      <c r="H91" s="37" t="n">
        <f aca="false">IF($B$3="Petrol",Forecast_Data!D72,IF(Forecast_Data!I72="","",Forecast_Data!I72))</f>
        <v>228.974767800126</v>
      </c>
    </row>
    <row r="92" customFormat="false" ht="15" hidden="false" customHeight="false" outlineLevel="0" collapsed="false">
      <c r="A92" s="36" t="n">
        <f aca="false">Forecast_Data!A73</f>
        <v>48458</v>
      </c>
      <c r="B92" s="17" t="n">
        <f aca="false">(ROW()-ROW($A$20))/12</f>
        <v>6</v>
      </c>
      <c r="C92" s="34" t="n">
        <f aca="false">(Scenario_Calc!N92+Scenario_Calc!K92)*(1+$B$6)</f>
        <v>156.683112662422</v>
      </c>
      <c r="D92" s="34" t="n">
        <f aca="false">(Scenario_Calc!O92+Scenario_Calc!L92)*(1+$B$6)</f>
        <v>190.799110433296</v>
      </c>
      <c r="E92" s="34" t="n">
        <f aca="false">(Scenario_Calc!P92+Scenario_Calc!M92)*(1+$B$6)</f>
        <v>212.941575903104</v>
      </c>
      <c r="F92" s="37" t="n">
        <f aca="false">IF($B$3="Petrol",Forecast_Data!B73,IF(Forecast_Data!G73="","",Forecast_Data!G73))</f>
        <v>169.147270504603</v>
      </c>
      <c r="G92" s="37" t="n">
        <f aca="false">IF($B$3="Petrol",Forecast_Data!C73,IF(Forecast_Data!H73="","",Forecast_Data!H73))</f>
        <v>108.898961340736</v>
      </c>
      <c r="H92" s="37" t="n">
        <f aca="false">IF($B$3="Petrol",Forecast_Data!D73,IF(Forecast_Data!I73="","",Forecast_Data!I73))</f>
        <v>229.39557966847</v>
      </c>
    </row>
    <row r="93" customFormat="false" ht="15" hidden="false" customHeight="false" outlineLevel="0" collapsed="false">
      <c r="A93" s="36" t="n">
        <f aca="false">Forecast_Data!A74</f>
        <v>48488</v>
      </c>
      <c r="B93" s="17" t="n">
        <f aca="false">(ROW()-ROW($A$20))/12</f>
        <v>6.08333333333333</v>
      </c>
      <c r="C93" s="34" t="n">
        <f aca="false">(Scenario_Calc!N93+Scenario_Calc!K93)*(1+$B$6)</f>
        <v>156.784861423529</v>
      </c>
      <c r="D93" s="34" t="n">
        <f aca="false">(Scenario_Calc!O93+Scenario_Calc!L93)*(1+$B$6)</f>
        <v>190.900859194403</v>
      </c>
      <c r="E93" s="34" t="n">
        <f aca="false">(Scenario_Calc!P93+Scenario_Calc!M93)*(1+$B$6)</f>
        <v>213.043324664211</v>
      </c>
      <c r="F93" s="37" t="n">
        <f aca="false">IF($B$3="Petrol",Forecast_Data!B74,IF(Forecast_Data!G74="","",Forecast_Data!G74))</f>
        <v>169.147270504603</v>
      </c>
      <c r="G93" s="37" t="n">
        <f aca="false">IF($B$3="Petrol",Forecast_Data!C74,IF(Forecast_Data!H74="","",Forecast_Data!H74))</f>
        <v>108.481068368949</v>
      </c>
      <c r="H93" s="37" t="n">
        <f aca="false">IF($B$3="Petrol",Forecast_Data!D74,IF(Forecast_Data!I74="","",Forecast_Data!I74))</f>
        <v>229.813472640257</v>
      </c>
    </row>
    <row r="94" customFormat="false" ht="15" hidden="false" customHeight="false" outlineLevel="0" collapsed="false">
      <c r="A94" s="36" t="n">
        <f aca="false">Forecast_Data!A75</f>
        <v>48519</v>
      </c>
      <c r="B94" s="17" t="n">
        <f aca="false">(ROW()-ROW($A$20))/12</f>
        <v>6.16666666666667</v>
      </c>
      <c r="C94" s="34" t="n">
        <f aca="false">(Scenario_Calc!N94+Scenario_Calc!K94)*(1+$B$6)</f>
        <v>156.886778230987</v>
      </c>
      <c r="D94" s="34" t="n">
        <f aca="false">(Scenario_Calc!O94+Scenario_Calc!L94)*(1+$B$6)</f>
        <v>191.002776001862</v>
      </c>
      <c r="E94" s="34" t="n">
        <f aca="false">(Scenario_Calc!P94+Scenario_Calc!M94)*(1+$B$6)</f>
        <v>213.145241471669</v>
      </c>
      <c r="F94" s="37" t="n">
        <f aca="false">IF($B$3="Petrol",Forecast_Data!B75,IF(Forecast_Data!G75="","",Forecast_Data!G75))</f>
        <v>169.147270504603</v>
      </c>
      <c r="G94" s="37" t="n">
        <f aca="false">IF($B$3="Petrol",Forecast_Data!C75,IF(Forecast_Data!H75="","",Forecast_Data!H75))</f>
        <v>108.066034383982</v>
      </c>
      <c r="H94" s="37" t="n">
        <f aca="false">IF($B$3="Petrol",Forecast_Data!D75,IF(Forecast_Data!I75="","",Forecast_Data!I75))</f>
        <v>230.228506625225</v>
      </c>
    </row>
    <row r="95" customFormat="false" ht="15" hidden="false" customHeight="false" outlineLevel="0" collapsed="false">
      <c r="A95" s="36" t="n">
        <f aca="false">Forecast_Data!A76</f>
        <v>48549</v>
      </c>
      <c r="B95" s="17" t="n">
        <f aca="false">(ROW()-ROW($A$20))/12</f>
        <v>6.25</v>
      </c>
      <c r="C95" s="34" t="n">
        <f aca="false">(Scenario_Calc!N95+Scenario_Calc!K95)*(1+$B$6)</f>
        <v>156.988863362339</v>
      </c>
      <c r="D95" s="34" t="n">
        <f aca="false">(Scenario_Calc!O95+Scenario_Calc!L95)*(1+$B$6)</f>
        <v>191.104861133214</v>
      </c>
      <c r="E95" s="34" t="n">
        <f aca="false">(Scenario_Calc!P95+Scenario_Calc!M95)*(1+$B$6)</f>
        <v>213.247326603021</v>
      </c>
      <c r="F95" s="37" t="n">
        <f aca="false">IF($B$3="Petrol",Forecast_Data!B76,IF(Forecast_Data!G76="","",Forecast_Data!G76))</f>
        <v>169.147270504603</v>
      </c>
      <c r="G95" s="37" t="n">
        <f aca="false">IF($B$3="Petrol",Forecast_Data!C76,IF(Forecast_Data!H76="","",Forecast_Data!H76))</f>
        <v>107.653801497868</v>
      </c>
      <c r="H95" s="37" t="n">
        <f aca="false">IF($B$3="Petrol",Forecast_Data!D76,IF(Forecast_Data!I76="","",Forecast_Data!I76))</f>
        <v>230.640739511338</v>
      </c>
    </row>
    <row r="96" customFormat="false" ht="15" hidden="false" customHeight="false" outlineLevel="0" collapsed="false">
      <c r="A96" s="36" t="n">
        <f aca="false">Forecast_Data!A77</f>
        <v>48580</v>
      </c>
      <c r="B96" s="17" t="n">
        <f aca="false">(ROW()-ROW($A$20))/12</f>
        <v>6.33333333333333</v>
      </c>
      <c r="C96" s="34" t="n">
        <f aca="false">(Scenario_Calc!N96+Scenario_Calc!K96)*(1+$B$6)</f>
        <v>157.721841869573</v>
      </c>
      <c r="D96" s="34" t="n">
        <f aca="false">(Scenario_Calc!O96+Scenario_Calc!L96)*(1+$B$6)</f>
        <v>193.542138497821</v>
      </c>
      <c r="E96" s="34" t="n">
        <f aca="false">(Scenario_Calc!P96+Scenario_Calc!M96)*(1+$B$6)</f>
        <v>216.127453277025</v>
      </c>
      <c r="F96" s="37" t="n">
        <f aca="false">IF($B$3="Petrol",Forecast_Data!B77,IF(Forecast_Data!G77="","",Forecast_Data!G77))</f>
        <v>169.147270504603</v>
      </c>
      <c r="G96" s="37" t="n">
        <f aca="false">IF($B$3="Petrol",Forecast_Data!C77,IF(Forecast_Data!H77="","",Forecast_Data!H77))</f>
        <v>107.244313750169</v>
      </c>
      <c r="H96" s="37" t="n">
        <f aca="false">IF($B$3="Petrol",Forecast_Data!D77,IF(Forecast_Data!I77="","",Forecast_Data!I77))</f>
        <v>231.050227259038</v>
      </c>
    </row>
    <row r="97" customFormat="false" ht="15" hidden="false" customHeight="false" outlineLevel="0" collapsed="false">
      <c r="A97" s="36" t="n">
        <f aca="false">Forecast_Data!A78</f>
        <v>48611</v>
      </c>
      <c r="B97" s="17" t="n">
        <f aca="false">(ROW()-ROW($A$20))/12</f>
        <v>6.41666666666667</v>
      </c>
      <c r="C97" s="34" t="n">
        <f aca="false">(Scenario_Calc!N97+Scenario_Calc!K97)*(1+$B$6)</f>
        <v>157.824264483173</v>
      </c>
      <c r="D97" s="34" t="n">
        <f aca="false">(Scenario_Calc!O97+Scenario_Calc!L97)*(1+$B$6)</f>
        <v>193.644561111421</v>
      </c>
      <c r="E97" s="34" t="n">
        <f aca="false">(Scenario_Calc!P97+Scenario_Calc!M97)*(1+$B$6)</f>
        <v>216.229875890625</v>
      </c>
      <c r="F97" s="37" t="n">
        <f aca="false">IF($B$3="Petrol",Forecast_Data!B78,IF(Forecast_Data!G78="","",Forecast_Data!G78))</f>
        <v>169.147270504603</v>
      </c>
      <c r="G97" s="37" t="n">
        <f aca="false">IF($B$3="Petrol",Forecast_Data!C78,IF(Forecast_Data!H78="","",Forecast_Data!H78))</f>
        <v>106.83751701929</v>
      </c>
      <c r="H97" s="37" t="n">
        <f aca="false">IF($B$3="Petrol",Forecast_Data!D78,IF(Forecast_Data!I78="","",Forecast_Data!I78))</f>
        <v>231.457023989916</v>
      </c>
    </row>
    <row r="98" customFormat="false" ht="15" hidden="false" customHeight="false" outlineLevel="0" collapsed="false">
      <c r="A98" s="36" t="n">
        <f aca="false">Forecast_Data!A79</f>
        <v>48639</v>
      </c>
      <c r="B98" s="17" t="n">
        <f aca="false">(ROW()-ROW($A$20))/12</f>
        <v>6.5</v>
      </c>
      <c r="C98" s="34" t="n">
        <f aca="false">(Scenario_Calc!N98+Scenario_Calc!K98)*(1+$B$6)</f>
        <v>157.926856256047</v>
      </c>
      <c r="D98" s="34" t="n">
        <f aca="false">(Scenario_Calc!O98+Scenario_Calc!L98)*(1+$B$6)</f>
        <v>193.747152884295</v>
      </c>
      <c r="E98" s="34" t="n">
        <f aca="false">(Scenario_Calc!P98+Scenario_Calc!M98)*(1+$B$6)</f>
        <v>216.332467663498</v>
      </c>
      <c r="F98" s="37" t="n">
        <f aca="false">IF($B$3="Petrol",Forecast_Data!B79,IF(Forecast_Data!G79="","",Forecast_Data!G79))</f>
        <v>169.147270504603</v>
      </c>
      <c r="G98" s="37" t="n">
        <f aca="false">IF($B$3="Petrol",Forecast_Data!C79,IF(Forecast_Data!H79="","",Forecast_Data!H79))</f>
        <v>106.433358938989</v>
      </c>
      <c r="H98" s="37" t="n">
        <f aca="false">IF($B$3="Petrol",Forecast_Data!D79,IF(Forecast_Data!I79="","",Forecast_Data!I79))</f>
        <v>231.861182070217</v>
      </c>
    </row>
    <row r="99" customFormat="false" ht="15" hidden="false" customHeight="false" outlineLevel="0" collapsed="false">
      <c r="A99" s="36" t="n">
        <f aca="false">Forecast_Data!A80</f>
        <v>48670</v>
      </c>
      <c r="B99" s="17" t="n">
        <f aca="false">(ROW()-ROW($A$20))/12</f>
        <v>6.58333333333333</v>
      </c>
      <c r="C99" s="34" t="n">
        <f aca="false">(Scenario_Calc!N99+Scenario_Calc!K99)*(1+$B$6)</f>
        <v>158.029617467574</v>
      </c>
      <c r="D99" s="34" t="n">
        <f aca="false">(Scenario_Calc!O99+Scenario_Calc!L99)*(1+$B$6)</f>
        <v>195.912389865131</v>
      </c>
      <c r="E99" s="34" t="n">
        <f aca="false">(Scenario_Calc!P99+Scenario_Calc!M99)*(1+$B$6)</f>
        <v>218.497704644334</v>
      </c>
      <c r="F99" s="37" t="n">
        <f aca="false">IF($B$3="Petrol",Forecast_Data!B80,IF(Forecast_Data!G80="","",Forecast_Data!G80))</f>
        <v>169.147270504603</v>
      </c>
      <c r="G99" s="37" t="n">
        <f aca="false">IF($B$3="Petrol",Forecast_Data!C80,IF(Forecast_Data!H80="","",Forecast_Data!H80))</f>
        <v>106.031788819689</v>
      </c>
      <c r="H99" s="37" t="n">
        <f aca="false">IF($B$3="Petrol",Forecast_Data!D80,IF(Forecast_Data!I80="","",Forecast_Data!I80))</f>
        <v>232.262752189517</v>
      </c>
    </row>
    <row r="100" customFormat="false" ht="15" hidden="false" customHeight="false" outlineLevel="0" collapsed="false">
      <c r="A100" s="36" t="n">
        <f aca="false">Forecast_Data!A81</f>
        <v>48700</v>
      </c>
      <c r="B100" s="17" t="n">
        <f aca="false">(ROW()-ROW($A$20))/12</f>
        <v>6.66666666666667</v>
      </c>
      <c r="C100" s="34" t="n">
        <f aca="false">(Scenario_Calc!N100+Scenario_Calc!K100)*(1+$B$6)</f>
        <v>158.132548397597</v>
      </c>
      <c r="D100" s="34" t="n">
        <f aca="false">(Scenario_Calc!O100+Scenario_Calc!L100)*(1+$B$6)</f>
        <v>196.015320795153</v>
      </c>
      <c r="E100" s="34" t="n">
        <f aca="false">(Scenario_Calc!P100+Scenario_Calc!M100)*(1+$B$6)</f>
        <v>218.600635574357</v>
      </c>
      <c r="F100" s="37" t="n">
        <f aca="false">IF($B$3="Petrol",Forecast_Data!B81,IF(Forecast_Data!G81="","",Forecast_Data!G81))</f>
        <v>169.147270504603</v>
      </c>
      <c r="G100" s="37" t="n">
        <f aca="false">IF($B$3="Petrol",Forecast_Data!C81,IF(Forecast_Data!H81="","",Forecast_Data!H81))</f>
        <v>105.632757574267</v>
      </c>
      <c r="H100" s="37" t="n">
        <f aca="false">IF($B$3="Petrol",Forecast_Data!D81,IF(Forecast_Data!I81="","",Forecast_Data!I81))</f>
        <v>232.66178343494</v>
      </c>
    </row>
    <row r="101" customFormat="false" ht="15" hidden="false" customHeight="false" outlineLevel="0" collapsed="false">
      <c r="A101" s="36" t="n">
        <f aca="false">Forecast_Data!A82</f>
        <v>48731</v>
      </c>
      <c r="B101" s="17" t="n">
        <f aca="false">(ROW()-ROW($A$20))/12</f>
        <v>6.75</v>
      </c>
      <c r="C101" s="34" t="n">
        <f aca="false">(Scenario_Calc!N101+Scenario_Calc!K101)*(1+$B$6)</f>
        <v>158.235649326419</v>
      </c>
      <c r="D101" s="34" t="n">
        <f aca="false">(Scenario_Calc!O101+Scenario_Calc!L101)*(1+$B$6)</f>
        <v>196.118421723976</v>
      </c>
      <c r="E101" s="34" t="n">
        <f aca="false">(Scenario_Calc!P101+Scenario_Calc!M101)*(1+$B$6)</f>
        <v>218.703736503179</v>
      </c>
      <c r="F101" s="37" t="n">
        <f aca="false">IF($B$3="Petrol",Forecast_Data!B82,IF(Forecast_Data!G82="","",Forecast_Data!G82))</f>
        <v>169.147270504603</v>
      </c>
      <c r="G101" s="37" t="n">
        <f aca="false">IF($B$3="Petrol",Forecast_Data!C82,IF(Forecast_Data!H82="","",Forecast_Data!H82))</f>
        <v>105.23621764802</v>
      </c>
      <c r="H101" s="37" t="n">
        <f aca="false">IF($B$3="Petrol",Forecast_Data!D82,IF(Forecast_Data!I82="","",Forecast_Data!I82))</f>
        <v>233.058323361187</v>
      </c>
    </row>
    <row r="102" customFormat="false" ht="15" hidden="false" customHeight="false" outlineLevel="0" collapsed="false">
      <c r="A102" s="36" t="n">
        <f aca="false">Forecast_Data!A83</f>
        <v>48761</v>
      </c>
      <c r="B102" s="17" t="n">
        <f aca="false">(ROW()-ROW($A$20))/12</f>
        <v>6.83333333333333</v>
      </c>
      <c r="C102" s="34" t="n">
        <f aca="false">(Scenario_Calc!N102+Scenario_Calc!K102)*(1+$B$6)</f>
        <v>158.338920534808</v>
      </c>
      <c r="D102" s="34" t="n">
        <f aca="false">(Scenario_Calc!O102+Scenario_Calc!L102)*(1+$B$6)</f>
        <v>196.221692932364</v>
      </c>
      <c r="E102" s="34" t="n">
        <f aca="false">(Scenario_Calc!P102+Scenario_Calc!M102)*(1+$B$6)</f>
        <v>218.807007711568</v>
      </c>
      <c r="F102" s="37" t="n">
        <f aca="false">IF($B$3="Petrol",Forecast_Data!B83,IF(Forecast_Data!G83="","",Forecast_Data!G83))</f>
        <v>169.147270504603</v>
      </c>
      <c r="G102" s="37" t="n">
        <f aca="false">IF($B$3="Petrol",Forecast_Data!C83,IF(Forecast_Data!H83="","",Forecast_Data!H83))</f>
        <v>104.842122952513</v>
      </c>
      <c r="H102" s="37" t="n">
        <f aca="false">IF($B$3="Petrol",Forecast_Data!D83,IF(Forecast_Data!I83="","",Forecast_Data!I83))</f>
        <v>233.452418056694</v>
      </c>
    </row>
    <row r="103" customFormat="false" ht="15" hidden="false" customHeight="false" outlineLevel="0" collapsed="false">
      <c r="A103" s="36" t="n">
        <f aca="false">Forecast_Data!A84</f>
        <v>48792</v>
      </c>
      <c r="B103" s="17" t="n">
        <f aca="false">(ROW()-ROW($A$20))/12</f>
        <v>6.91666666666667</v>
      </c>
      <c r="C103" s="34" t="n">
        <f aca="false">(Scenario_Calc!N103+Scenario_Calc!K103)*(1+$B$6)</f>
        <v>158.442362303993</v>
      </c>
      <c r="D103" s="34" t="n">
        <f aca="false">(Scenario_Calc!O103+Scenario_Calc!L103)*(1+$B$6)</f>
        <v>196.325134701549</v>
      </c>
      <c r="E103" s="34" t="n">
        <f aca="false">(Scenario_Calc!P103+Scenario_Calc!M103)*(1+$B$6)</f>
        <v>218.910449480753</v>
      </c>
      <c r="F103" s="37" t="n">
        <f aca="false">IF($B$3="Petrol",Forecast_Data!B84,IF(Forecast_Data!G84="","",Forecast_Data!G84))</f>
        <v>169.147270504603</v>
      </c>
      <c r="G103" s="37" t="n">
        <f aca="false">IF($B$3="Petrol",Forecast_Data!C84,IF(Forecast_Data!H84="","",Forecast_Data!H84))</f>
        <v>104.450428803055</v>
      </c>
      <c r="H103" s="37" t="n">
        <f aca="false">IF($B$3="Petrol",Forecast_Data!D84,IF(Forecast_Data!I84="","",Forecast_Data!I84))</f>
        <v>233.844112206152</v>
      </c>
    </row>
    <row r="104" customFormat="false" ht="15" hidden="false" customHeight="false" outlineLevel="0" collapsed="false">
      <c r="A104" s="36" t="n">
        <f aca="false">Forecast_Data!A85</f>
        <v>48823</v>
      </c>
      <c r="B104" s="17" t="n">
        <f aca="false">(ROW()-ROW($A$20))/12</f>
        <v>7</v>
      </c>
      <c r="C104" s="34" t="n">
        <f aca="false">(Scenario_Calc!N104+Scenario_Calc!K104)*(1+$B$6)</f>
        <v>158.54597491567</v>
      </c>
      <c r="D104" s="34" t="n">
        <f aca="false">(Scenario_Calc!O104+Scenario_Calc!L104)*(1+$B$6)</f>
        <v>196.428747313226</v>
      </c>
      <c r="E104" s="34" t="n">
        <f aca="false">(Scenario_Calc!P104+Scenario_Calc!M104)*(1+$B$6)</f>
        <v>219.01406209243</v>
      </c>
      <c r="F104" s="37" t="n">
        <f aca="false">IF($B$3="Petrol",Forecast_Data!B85,IF(Forecast_Data!G85="","",Forecast_Data!G85))</f>
        <v>169.147270504603</v>
      </c>
      <c r="G104" s="37" t="n">
        <f aca="false">IF($B$3="Petrol",Forecast_Data!C85,IF(Forecast_Data!H85="","",Forecast_Data!H85))</f>
        <v>104.061091859561</v>
      </c>
      <c r="H104" s="37" t="n">
        <f aca="false">IF($B$3="Petrol",Forecast_Data!D85,IF(Forecast_Data!I85="","",Forecast_Data!I85))</f>
        <v>234.233449149645</v>
      </c>
    </row>
    <row r="105" customFormat="false" ht="15" hidden="false" customHeight="false" outlineLevel="0" collapsed="false">
      <c r="A105" s="36" t="n">
        <f aca="false">Forecast_Data!A86</f>
        <v>48853</v>
      </c>
      <c r="B105" s="17" t="n">
        <f aca="false">(ROW()-ROW($A$20))/12</f>
        <v>7.08333333333333</v>
      </c>
      <c r="C105" s="34" t="n">
        <f aca="false">(Scenario_Calc!N105+Scenario_Calc!K105)*(1+$B$6)</f>
        <v>158.649758651999</v>
      </c>
      <c r="D105" s="34" t="n">
        <f aca="false">(Scenario_Calc!O105+Scenario_Calc!L105)*(1+$B$6)</f>
        <v>196.532531049556</v>
      </c>
      <c r="E105" s="34" t="n">
        <f aca="false">(Scenario_Calc!P105+Scenario_Calc!M105)*(1+$B$6)</f>
        <v>219.117845828759</v>
      </c>
      <c r="F105" s="37" t="n">
        <f aca="false">IF($B$3="Petrol",Forecast_Data!B86,IF(Forecast_Data!G86="","",Forecast_Data!G86))</f>
        <v>169.147270504603</v>
      </c>
      <c r="G105" s="37" t="n">
        <f aca="false">IF($B$3="Petrol",Forecast_Data!C86,IF(Forecast_Data!H86="","",Forecast_Data!H86))</f>
        <v>103.674070070582</v>
      </c>
      <c r="H105" s="37" t="n">
        <f aca="false">IF($B$3="Petrol",Forecast_Data!D86,IF(Forecast_Data!I86="","",Forecast_Data!I86))</f>
        <v>234.620470938624</v>
      </c>
    </row>
    <row r="106" customFormat="false" ht="15" hidden="false" customHeight="false" outlineLevel="0" collapsed="false">
      <c r="A106" s="36" t="n">
        <f aca="false">Forecast_Data!A87</f>
        <v>48884</v>
      </c>
      <c r="B106" s="17" t="n">
        <f aca="false">(ROW()-ROW($A$20))/12</f>
        <v>7.16666666666667</v>
      </c>
      <c r="C106" s="34" t="n">
        <f aca="false">(Scenario_Calc!N106+Scenario_Calc!K106)*(1+$B$6)</f>
        <v>158.753713795607</v>
      </c>
      <c r="D106" s="34" t="n">
        <f aca="false">(Scenario_Calc!O106+Scenario_Calc!L106)*(1+$B$6)</f>
        <v>196.636486193163</v>
      </c>
      <c r="E106" s="34" t="n">
        <f aca="false">(Scenario_Calc!P106+Scenario_Calc!M106)*(1+$B$6)</f>
        <v>219.221800972367</v>
      </c>
      <c r="F106" s="37" t="n">
        <f aca="false">IF($B$3="Petrol",Forecast_Data!B87,IF(Forecast_Data!G87="","",Forecast_Data!G87))</f>
        <v>169.147270504603</v>
      </c>
      <c r="G106" s="37" t="n">
        <f aca="false">IF($B$3="Petrol",Forecast_Data!C87,IF(Forecast_Data!H87="","",Forecast_Data!H87))</f>
        <v>103.289322620292</v>
      </c>
      <c r="H106" s="37" t="n">
        <f aca="false">IF($B$3="Petrol",Forecast_Data!D87,IF(Forecast_Data!I87="","",Forecast_Data!I87))</f>
        <v>235.005218388914</v>
      </c>
    </row>
    <row r="107" customFormat="false" ht="15" hidden="false" customHeight="false" outlineLevel="0" collapsed="false">
      <c r="A107" s="36" t="n">
        <f aca="false">Forecast_Data!A88</f>
        <v>48914</v>
      </c>
      <c r="B107" s="17" t="n">
        <f aca="false">(ROW()-ROW($A$20))/12</f>
        <v>7.25</v>
      </c>
      <c r="C107" s="34" t="n">
        <f aca="false">(Scenario_Calc!N107+Scenario_Calc!K107)*(1+$B$6)</f>
        <v>158.857840629586</v>
      </c>
      <c r="D107" s="34" t="n">
        <f aca="false">(Scenario_Calc!O107+Scenario_Calc!L107)*(1+$B$6)</f>
        <v>196.740613027142</v>
      </c>
      <c r="E107" s="34" t="n">
        <f aca="false">(Scenario_Calc!P107+Scenario_Calc!M107)*(1+$B$6)</f>
        <v>219.325927806346</v>
      </c>
      <c r="F107" s="37" t="n">
        <f aca="false">IF($B$3="Petrol",Forecast_Data!B88,IF(Forecast_Data!G88="","",Forecast_Data!G88))</f>
        <v>169.147270504603</v>
      </c>
      <c r="G107" s="37" t="n">
        <f aca="false">IF($B$3="Petrol",Forecast_Data!C88,IF(Forecast_Data!H88="","",Forecast_Data!H88))</f>
        <v>102.906809878248</v>
      </c>
      <c r="H107" s="37" t="n">
        <f aca="false">IF($B$3="Petrol",Forecast_Data!D88,IF(Forecast_Data!I88="","",Forecast_Data!I88))</f>
        <v>235.387731130959</v>
      </c>
    </row>
    <row r="108" customFormat="false" ht="15" hidden="false" customHeight="false" outlineLevel="0" collapsed="false">
      <c r="A108" s="36" t="n">
        <f aca="false">Forecast_Data!A89</f>
        <v>48945</v>
      </c>
      <c r="B108" s="17" t="n">
        <f aca="false">(ROW()-ROW($A$20))/12</f>
        <v>7.33333333333333</v>
      </c>
      <c r="C108" s="34" t="n">
        <f aca="false">(Scenario_Calc!N108+Scenario_Calc!K108)*(1+$B$6)</f>
        <v>160.303570254686</v>
      </c>
      <c r="D108" s="34" t="n">
        <f aca="false">(Scenario_Calc!O108+Scenario_Calc!L108)*(1+$B$6)</f>
        <v>199.254012078168</v>
      </c>
      <c r="E108" s="34" t="n">
        <f aca="false">(Scenario_Calc!P108+Scenario_Calc!M108)*(1+$B$6)</f>
        <v>222.291033152956</v>
      </c>
      <c r="F108" s="37" t="n">
        <f aca="false">IF($B$3="Petrol",Forecast_Data!B89,IF(Forecast_Data!G89="","",Forecast_Data!G89))</f>
        <v>169.147270504603</v>
      </c>
      <c r="G108" s="37" t="n">
        <f aca="false">IF($B$3="Petrol",Forecast_Data!C89,IF(Forecast_Data!H89="","",Forecast_Data!H89))</f>
        <v>102.526493351744</v>
      </c>
      <c r="H108" s="37" t="n">
        <f aca="false">IF($B$3="Petrol",Forecast_Data!D89,IF(Forecast_Data!I89="","",Forecast_Data!I89))</f>
        <v>235.768047657462</v>
      </c>
    </row>
    <row r="109" customFormat="false" ht="15" hidden="false" customHeight="false" outlineLevel="0" collapsed="false">
      <c r="A109" s="36" t="n">
        <f aca="false">Forecast_Data!A90</f>
        <v>48976</v>
      </c>
      <c r="B109" s="17" t="n">
        <f aca="false">(ROW()-ROW($A$20))/12</f>
        <v>7.41666666666667</v>
      </c>
      <c r="C109" s="34" t="n">
        <f aca="false">(Scenario_Calc!N109+Scenario_Calc!K109)*(1+$B$6)</f>
        <v>160.408041320558</v>
      </c>
      <c r="D109" s="34" t="n">
        <f aca="false">(Scenario_Calc!O109+Scenario_Calc!L109)*(1+$B$6)</f>
        <v>199.35848314404</v>
      </c>
      <c r="E109" s="34" t="n">
        <f aca="false">(Scenario_Calc!P109+Scenario_Calc!M109)*(1+$B$6)</f>
        <v>222.395504218828</v>
      </c>
      <c r="F109" s="37" t="n">
        <f aca="false">IF($B$3="Petrol",Forecast_Data!B90,IF(Forecast_Data!G90="","",Forecast_Data!G90))</f>
        <v>169.147270504603</v>
      </c>
      <c r="G109" s="37" t="n">
        <f aca="false">IF($B$3="Petrol",Forecast_Data!C90,IF(Forecast_Data!H90="","",Forecast_Data!H90))</f>
        <v>102.148335640607</v>
      </c>
      <c r="H109" s="37" t="n">
        <f aca="false">IF($B$3="Petrol",Forecast_Data!D90,IF(Forecast_Data!I90="","",Forecast_Data!I90))</f>
        <v>236.146205368599</v>
      </c>
    </row>
    <row r="110" customFormat="false" ht="15" hidden="false" customHeight="false" outlineLevel="0" collapsed="false">
      <c r="A110" s="36" t="n">
        <f aca="false">Forecast_Data!A91</f>
        <v>49004</v>
      </c>
      <c r="B110" s="17" t="n">
        <f aca="false">(ROW()-ROW($A$20))/12</f>
        <v>7.5</v>
      </c>
      <c r="C110" s="34" t="n">
        <f aca="false">(Scenario_Calc!N110+Scenario_Calc!K110)*(1+$B$6)</f>
        <v>160.512684928889</v>
      </c>
      <c r="D110" s="34" t="n">
        <f aca="false">(Scenario_Calc!O110+Scenario_Calc!L110)*(1+$B$6)</f>
        <v>199.463126752371</v>
      </c>
      <c r="E110" s="34" t="n">
        <f aca="false">(Scenario_Calc!P110+Scenario_Calc!M110)*(1+$B$6)</f>
        <v>222.500147827159</v>
      </c>
      <c r="F110" s="37" t="n">
        <f aca="false">IF($B$3="Petrol",Forecast_Data!B91,IF(Forecast_Data!G91="","",Forecast_Data!G91))</f>
        <v>169.147270504603</v>
      </c>
      <c r="G110" s="37" t="n">
        <f aca="false">IF($B$3="Petrol",Forecast_Data!C91,IF(Forecast_Data!H91="","",Forecast_Data!H91))</f>
        <v>101.772300394264</v>
      </c>
      <c r="H110" s="37" t="n">
        <f aca="false">IF($B$3="Petrol",Forecast_Data!D91,IF(Forecast_Data!I91="","",Forecast_Data!I91))</f>
        <v>236.522240614942</v>
      </c>
    </row>
    <row r="111" customFormat="false" ht="15" hidden="false" customHeight="false" outlineLevel="0" collapsed="false">
      <c r="A111" s="36" t="n">
        <f aca="false">Forecast_Data!A92</f>
        <v>49035</v>
      </c>
      <c r="B111" s="17" t="n">
        <f aca="false">(ROW()-ROW($A$20))/12</f>
        <v>7.58333333333333</v>
      </c>
      <c r="C111" s="34" t="n">
        <f aca="false">(Scenario_Calc!N111+Scenario_Calc!K111)*(1+$B$6)</f>
        <v>160.617501364646</v>
      </c>
      <c r="D111" s="34" t="n">
        <f aca="false">(Scenario_Calc!O111+Scenario_Calc!L111)*(1+$B$6)</f>
        <v>201.683012089555</v>
      </c>
      <c r="E111" s="34" t="n">
        <f aca="false">(Scenario_Calc!P111+Scenario_Calc!M111)*(1+$B$6)</f>
        <v>224.720033164343</v>
      </c>
      <c r="F111" s="37" t="n">
        <f aca="false">IF($B$3="Petrol",Forecast_Data!B92,IF(Forecast_Data!G92="","",Forecast_Data!G92))</f>
        <v>169.147270504603</v>
      </c>
      <c r="G111" s="37" t="n">
        <f aca="false">IF($B$3="Petrol",Forecast_Data!C92,IF(Forecast_Data!H92="","",Forecast_Data!H92))</f>
        <v>101.398352270965</v>
      </c>
      <c r="H111" s="37" t="n">
        <f aca="false">IF($B$3="Petrol",Forecast_Data!D92,IF(Forecast_Data!I92="","",Forecast_Data!I92))</f>
        <v>236.896188738242</v>
      </c>
    </row>
    <row r="112" customFormat="false" ht="15" hidden="false" customHeight="false" outlineLevel="0" collapsed="false">
      <c r="A112" s="36" t="n">
        <f aca="false">Forecast_Data!A93</f>
        <v>49065</v>
      </c>
      <c r="B112" s="17" t="n">
        <f aca="false">(ROW()-ROW($A$20))/12</f>
        <v>7.66666666666667</v>
      </c>
      <c r="C112" s="34" t="n">
        <f aca="false">(Scenario_Calc!N112+Scenario_Calc!K112)*(1+$B$6)</f>
        <v>160.72249091327</v>
      </c>
      <c r="D112" s="34" t="n">
        <f aca="false">(Scenario_Calc!O112+Scenario_Calc!L112)*(1+$B$6)</f>
        <v>201.788001638178</v>
      </c>
      <c r="E112" s="34" t="n">
        <f aca="false">(Scenario_Calc!P112+Scenario_Calc!M112)*(1+$B$6)</f>
        <v>224.825022712966</v>
      </c>
      <c r="F112" s="37" t="n">
        <f aca="false">IF($B$3="Petrol",Forecast_Data!B93,IF(Forecast_Data!G93="","",Forecast_Data!G93))</f>
        <v>169.147270504603</v>
      </c>
      <c r="G112" s="37" t="n">
        <f aca="false">IF($B$3="Petrol",Forecast_Data!C93,IF(Forecast_Data!H93="","",Forecast_Data!H93))</f>
        <v>101.026456899014</v>
      </c>
      <c r="H112" s="37" t="n">
        <f aca="false">IF($B$3="Petrol",Forecast_Data!D93,IF(Forecast_Data!I93="","",Forecast_Data!I93))</f>
        <v>237.268084110192</v>
      </c>
    </row>
    <row r="113" customFormat="false" ht="15" hidden="false" customHeight="false" outlineLevel="0" collapsed="false">
      <c r="A113" s="36" t="n">
        <f aca="false">Forecast_Data!A94</f>
        <v>49096</v>
      </c>
      <c r="B113" s="17" t="n">
        <f aca="false">(ROW()-ROW($A$20))/12</f>
        <v>7.75</v>
      </c>
      <c r="C113" s="34" t="n">
        <f aca="false">(Scenario_Calc!N113+Scenario_Calc!K113)*(1+$B$6)</f>
        <v>160.827653860668</v>
      </c>
      <c r="D113" s="34" t="n">
        <f aca="false">(Scenario_Calc!O113+Scenario_Calc!L113)*(1+$B$6)</f>
        <v>201.893164585577</v>
      </c>
      <c r="E113" s="34" t="n">
        <f aca="false">(Scenario_Calc!P113+Scenario_Calc!M113)*(1+$B$6)</f>
        <v>224.930185660365</v>
      </c>
      <c r="F113" s="37" t="n">
        <f aca="false">IF($B$3="Petrol",Forecast_Data!B94,IF(Forecast_Data!G94="","",Forecast_Data!G94))</f>
        <v>169.147270504603</v>
      </c>
      <c r="G113" s="37" t="n">
        <f aca="false">IF($B$3="Petrol",Forecast_Data!C94,IF(Forecast_Data!H94="","",Forecast_Data!H94))</f>
        <v>100.656580839901</v>
      </c>
      <c r="H113" s="37" t="n">
        <f aca="false">IF($B$3="Petrol",Forecast_Data!D94,IF(Forecast_Data!I94="","",Forecast_Data!I94))</f>
        <v>237.637960169305</v>
      </c>
    </row>
    <row r="114" customFormat="false" ht="15" hidden="false" customHeight="false" outlineLevel="0" collapsed="false">
      <c r="A114" s="36" t="n">
        <f aca="false">Forecast_Data!A95</f>
        <v>49126</v>
      </c>
      <c r="B114" s="17" t="n">
        <f aca="false">(ROW()-ROW($A$20))/12</f>
        <v>7.83333333333333</v>
      </c>
      <c r="C114" s="34" t="n">
        <f aca="false">(Scenario_Calc!N114+Scenario_Calc!K114)*(1+$B$6)</f>
        <v>160.932990493225</v>
      </c>
      <c r="D114" s="34" t="n">
        <f aca="false">(Scenario_Calc!O114+Scenario_Calc!L114)*(1+$B$6)</f>
        <v>201.998501218133</v>
      </c>
      <c r="E114" s="34" t="n">
        <f aca="false">(Scenario_Calc!P114+Scenario_Calc!M114)*(1+$B$6)</f>
        <v>225.035522292921</v>
      </c>
      <c r="F114" s="37" t="n">
        <f aca="false">IF($B$3="Petrol",Forecast_Data!B95,IF(Forecast_Data!G95="","",Forecast_Data!G95))</f>
        <v>169.147270504603</v>
      </c>
      <c r="G114" s="37" t="n">
        <f aca="false">IF($B$3="Petrol",Forecast_Data!C95,IF(Forecast_Data!H95="","",Forecast_Data!H95))</f>
        <v>100.288691553207</v>
      </c>
      <c r="H114" s="37" t="n">
        <f aca="false">IF($B$3="Petrol",Forecast_Data!D95,IF(Forecast_Data!I95="","",Forecast_Data!I95))</f>
        <v>238.005849455999</v>
      </c>
    </row>
    <row r="115" customFormat="false" ht="15" hidden="false" customHeight="false" outlineLevel="0" collapsed="false">
      <c r="A115" s="36" t="n">
        <f aca="false">Forecast_Data!A96</f>
        <v>49157</v>
      </c>
      <c r="B115" s="17" t="n">
        <f aca="false">(ROW()-ROW($A$20))/12</f>
        <v>7.91666666666667</v>
      </c>
      <c r="C115" s="34" t="n">
        <f aca="false">(Scenario_Calc!N115+Scenario_Calc!K115)*(1+$B$6)</f>
        <v>161.038501097794</v>
      </c>
      <c r="D115" s="34" t="n">
        <f aca="false">(Scenario_Calc!O115+Scenario_Calc!L115)*(1+$B$6)</f>
        <v>202.104011822702</v>
      </c>
      <c r="E115" s="34" t="n">
        <f aca="false">(Scenario_Calc!P115+Scenario_Calc!M115)*(1+$B$6)</f>
        <v>225.14103289749</v>
      </c>
      <c r="F115" s="37" t="n">
        <f aca="false">IF($B$3="Petrol",Forecast_Data!B96,IF(Forecast_Data!G96="","",Forecast_Data!G96))</f>
        <v>169.147270504603</v>
      </c>
      <c r="G115" s="37" t="n">
        <f aca="false">IF($B$3="Petrol",Forecast_Data!C96,IF(Forecast_Data!H96="","",Forecast_Data!H96))</f>
        <v>99.9227573631969</v>
      </c>
      <c r="H115" s="37" t="n">
        <f aca="false">IF($B$3="Petrol",Forecast_Data!D96,IF(Forecast_Data!I96="","",Forecast_Data!I96))</f>
        <v>238.371783646009</v>
      </c>
    </row>
    <row r="116" customFormat="false" ht="15" hidden="false" customHeight="false" outlineLevel="0" collapsed="false">
      <c r="A116" s="36" t="n">
        <f aca="false">Forecast_Data!A97</f>
        <v>49188</v>
      </c>
      <c r="B116" s="17" t="n">
        <f aca="false">(ROW()-ROW($A$20))/12</f>
        <v>8</v>
      </c>
      <c r="C116" s="34" t="n">
        <f aca="false">(Scenario_Calc!N116+Scenario_Calc!K116)*(1+$B$6)</f>
        <v>161.144185961704</v>
      </c>
      <c r="D116" s="34" t="n">
        <f aca="false">(Scenario_Calc!O116+Scenario_Calc!L116)*(1+$B$6)</f>
        <v>202.209696686613</v>
      </c>
      <c r="E116" s="34" t="n">
        <f aca="false">(Scenario_Calc!P116+Scenario_Calc!M116)*(1+$B$6)</f>
        <v>225.246717761401</v>
      </c>
      <c r="F116" s="37" t="n">
        <f aca="false">IF($B$3="Petrol",Forecast_Data!B97,IF(Forecast_Data!G97="","",Forecast_Data!G97))</f>
        <v>169.147270504603</v>
      </c>
      <c r="G116" s="37" t="n">
        <f aca="false">IF($B$3="Petrol",Forecast_Data!C97,IF(Forecast_Data!H97="","",Forecast_Data!H97))</f>
        <v>99.5587474269875</v>
      </c>
      <c r="H116" s="37" t="n">
        <f aca="false">IF($B$3="Petrol",Forecast_Data!D97,IF(Forecast_Data!I97="","",Forecast_Data!I97))</f>
        <v>238.735793582219</v>
      </c>
    </row>
    <row r="117" customFormat="false" ht="15" hidden="false" customHeight="false" outlineLevel="0" collapsed="false">
      <c r="A117" s="36" t="n">
        <f aca="false">Forecast_Data!A98</f>
        <v>49218</v>
      </c>
      <c r="B117" s="17" t="n">
        <f aca="false">(ROW()-ROW($A$20))/12</f>
        <v>8.08333333333333</v>
      </c>
      <c r="C117" s="34" t="n">
        <f aca="false">(Scenario_Calc!N117+Scenario_Calc!K117)*(1+$B$6)</f>
        <v>161.25004537276</v>
      </c>
      <c r="D117" s="34" t="n">
        <f aca="false">(Scenario_Calc!O117+Scenario_Calc!L117)*(1+$B$6)</f>
        <v>202.315556097669</v>
      </c>
      <c r="E117" s="34" t="n">
        <f aca="false">(Scenario_Calc!P117+Scenario_Calc!M117)*(1+$B$6)</f>
        <v>225.352577172456</v>
      </c>
      <c r="F117" s="37" t="n">
        <f aca="false">IF($B$3="Petrol",Forecast_Data!B98,IF(Forecast_Data!G98="","",Forecast_Data!G98))</f>
        <v>169.147270504603</v>
      </c>
      <c r="G117" s="37" t="n">
        <f aca="false">IF($B$3="Petrol",Forecast_Data!C98,IF(Forecast_Data!H98="","",Forecast_Data!H98))</f>
        <v>99.1966317042107</v>
      </c>
      <c r="H117" s="37" t="n">
        <f aca="false">IF($B$3="Petrol",Forecast_Data!D98,IF(Forecast_Data!I98="","",Forecast_Data!I98))</f>
        <v>239.097909304996</v>
      </c>
    </row>
    <row r="118" customFormat="false" ht="15" hidden="false" customHeight="false" outlineLevel="0" collapsed="false">
      <c r="A118" s="36" t="n">
        <f aca="false">Forecast_Data!A99</f>
        <v>49249</v>
      </c>
      <c r="B118" s="17" t="n">
        <f aca="false">(ROW()-ROW($A$20))/12</f>
        <v>8.16666666666667</v>
      </c>
      <c r="C118" s="34" t="n">
        <f aca="false">(Scenario_Calc!N118+Scenario_Calc!K118)*(1+$B$6)</f>
        <v>161.35607961924</v>
      </c>
      <c r="D118" s="34" t="n">
        <f aca="false">(Scenario_Calc!O118+Scenario_Calc!L118)*(1+$B$6)</f>
        <v>202.421590344148</v>
      </c>
      <c r="E118" s="34" t="n">
        <f aca="false">(Scenario_Calc!P118+Scenario_Calc!M118)*(1+$B$6)</f>
        <v>225.458611418936</v>
      </c>
      <c r="F118" s="37" t="n">
        <f aca="false">IF($B$3="Petrol",Forecast_Data!B99,IF(Forecast_Data!G99="","",Forecast_Data!G99))</f>
        <v>169.147270504603</v>
      </c>
      <c r="G118" s="37" t="n">
        <f aca="false">IF($B$3="Petrol",Forecast_Data!C99,IF(Forecast_Data!H99="","",Forecast_Data!H99))</f>
        <v>98.8363809280795</v>
      </c>
      <c r="H118" s="37" t="n">
        <f aca="false">IF($B$3="Petrol",Forecast_Data!D99,IF(Forecast_Data!I99="","",Forecast_Data!I99))</f>
        <v>239.458160081127</v>
      </c>
    </row>
    <row r="119" customFormat="false" ht="15" hidden="false" customHeight="false" outlineLevel="0" collapsed="false">
      <c r="A119" s="36" t="n">
        <f aca="false">Forecast_Data!A100</f>
        <v>49279</v>
      </c>
      <c r="B119" s="17" t="n">
        <f aca="false">(ROW()-ROW($A$20))/12</f>
        <v>8.25</v>
      </c>
      <c r="C119" s="34" t="n">
        <f aca="false">(Scenario_Calc!N119+Scenario_Calc!K119)*(1+$B$6)</f>
        <v>161.462288989898</v>
      </c>
      <c r="D119" s="34" t="n">
        <f aca="false">(Scenario_Calc!O119+Scenario_Calc!L119)*(1+$B$6)</f>
        <v>202.527799714807</v>
      </c>
      <c r="E119" s="34" t="n">
        <f aca="false">(Scenario_Calc!P119+Scenario_Calc!M119)*(1+$B$6)</f>
        <v>225.564820789595</v>
      </c>
      <c r="F119" s="37" t="n">
        <f aca="false">IF($B$3="Petrol",Forecast_Data!B100,IF(Forecast_Data!G100="","",Forecast_Data!G100))</f>
        <v>169.147270504603</v>
      </c>
      <c r="G119" s="37" t="n">
        <f aca="false">IF($B$3="Petrol",Forecast_Data!C100,IF(Forecast_Data!H100="","",Forecast_Data!H100))</f>
        <v>98.4779665777834</v>
      </c>
      <c r="H119" s="37" t="n">
        <f aca="false">IF($B$3="Petrol",Forecast_Data!D100,IF(Forecast_Data!I100="","",Forecast_Data!I100))</f>
        <v>239.816574431423</v>
      </c>
    </row>
    <row r="120" customFormat="false" ht="15" hidden="false" customHeight="false" outlineLevel="0" collapsed="false">
      <c r="A120" s="36" t="n">
        <f aca="false">Forecast_Data!A101</f>
        <v>49310</v>
      </c>
      <c r="B120" s="17" t="n">
        <f aca="false">(ROW()-ROW($A$20))/12</f>
        <v>8.33333333333333</v>
      </c>
      <c r="C120" s="34" t="n">
        <f aca="false">(Scenario_Calc!N120+Scenario_Calc!K120)*(1+$B$6)</f>
        <v>162.950895038455</v>
      </c>
      <c r="D120" s="34" t="n">
        <f aca="false">(Scenario_Calc!O120+Scenario_Calc!L120)*(1+$B$6)</f>
        <v>204.407337030087</v>
      </c>
      <c r="E120" s="34" t="n">
        <f aca="false">(Scenario_Calc!P120+Scenario_Calc!M120)*(1+$B$6)</f>
        <v>227.90509852637</v>
      </c>
      <c r="F120" s="37" t="n">
        <f aca="false">IF($B$3="Petrol",Forecast_Data!B101,IF(Forecast_Data!G101="","",Forecast_Data!G101))</f>
        <v>169.147270504603</v>
      </c>
      <c r="G120" s="37" t="n">
        <f aca="false">IF($B$3="Petrol",Forecast_Data!C101,IF(Forecast_Data!H101="","",Forecast_Data!H101))</f>
        <v>98.1213608521365</v>
      </c>
      <c r="H120" s="37" t="n">
        <f aca="false">IF($B$3="Petrol",Forecast_Data!D101,IF(Forecast_Data!I101="","",Forecast_Data!I101))</f>
        <v>240.17318015707</v>
      </c>
    </row>
    <row r="121" customFormat="false" ht="15" hidden="false" customHeight="false" outlineLevel="0" collapsed="false">
      <c r="A121" s="36" t="n">
        <f aca="false">Forecast_Data!A102</f>
        <v>49341</v>
      </c>
      <c r="B121" s="17" t="n">
        <f aca="false">(ROW()-ROW($A$20))/12</f>
        <v>8.41666666666667</v>
      </c>
      <c r="C121" s="34" t="n">
        <f aca="false">(Scenario_Calc!N121+Scenario_Calc!K121)*(1+$B$6)</f>
        <v>163.057455525644</v>
      </c>
      <c r="D121" s="34" t="n">
        <f aca="false">(Scenario_Calc!O121+Scenario_Calc!L121)*(1+$B$6)</f>
        <v>204.513897517276</v>
      </c>
      <c r="E121" s="34" t="n">
        <f aca="false">(Scenario_Calc!P121+Scenario_Calc!M121)*(1+$B$6)</f>
        <v>228.01165901356</v>
      </c>
      <c r="F121" s="37" t="n">
        <f aca="false">IF($B$3="Petrol",Forecast_Data!B102,IF(Forecast_Data!G102="","",Forecast_Data!G102))</f>
        <v>169.147270504603</v>
      </c>
      <c r="G121" s="37" t="n">
        <f aca="false">IF($B$3="Petrol",Forecast_Data!C102,IF(Forecast_Data!H102="","",Forecast_Data!H102))</f>
        <v>97.7665366444118</v>
      </c>
      <c r="H121" s="37" t="n">
        <f aca="false">IF($B$3="Petrol",Forecast_Data!D102,IF(Forecast_Data!I102="","",Forecast_Data!I102))</f>
        <v>240.528004364795</v>
      </c>
    </row>
    <row r="122" customFormat="false" ht="15" hidden="false" customHeight="false" outlineLevel="0" collapsed="false">
      <c r="A122" s="36" t="n">
        <f aca="false">Forecast_Data!A103</f>
        <v>49369</v>
      </c>
      <c r="B122" s="17" t="n">
        <f aca="false">(ROW()-ROW($A$20))/12</f>
        <v>8.5</v>
      </c>
      <c r="C122" s="34" t="n">
        <f aca="false">(Scenario_Calc!N122+Scenario_Calc!K122)*(1+$B$6)</f>
        <v>163.164192006142</v>
      </c>
      <c r="D122" s="34" t="n">
        <f aca="false">(Scenario_Calc!O122+Scenario_Calc!L122)*(1+$B$6)</f>
        <v>204.620633997774</v>
      </c>
      <c r="E122" s="34" t="n">
        <f aca="false">(Scenario_Calc!P122+Scenario_Calc!M122)*(1+$B$6)</f>
        <v>228.118395494057</v>
      </c>
      <c r="F122" s="37" t="n">
        <f aca="false">IF($B$3="Petrol",Forecast_Data!B103,IF(Forecast_Data!G103="","",Forecast_Data!G103))</f>
        <v>169.147270504603</v>
      </c>
      <c r="G122" s="37" t="n">
        <f aca="false">IF($B$3="Petrol",Forecast_Data!C103,IF(Forecast_Data!H103="","",Forecast_Data!H103))</f>
        <v>97.4134675182941</v>
      </c>
      <c r="H122" s="37" t="n">
        <f aca="false">IF($B$3="Petrol",Forecast_Data!D103,IF(Forecast_Data!I103="","",Forecast_Data!I103))</f>
        <v>240.881073490912</v>
      </c>
    </row>
    <row r="123" customFormat="false" ht="15" hidden="false" customHeight="false" outlineLevel="0" collapsed="false">
      <c r="A123" s="36" t="n">
        <f aca="false">Forecast_Data!A104</f>
        <v>49400</v>
      </c>
      <c r="B123" s="17" t="n">
        <f aca="false">(ROW()-ROW($A$20))/12</f>
        <v>8.58333333333333</v>
      </c>
      <c r="C123" s="34" t="n">
        <f aca="false">(Scenario_Calc!N123+Scenario_Calc!K123)*(1+$B$6)</f>
        <v>163.271104770615</v>
      </c>
      <c r="D123" s="34" t="n">
        <f aca="false">(Scenario_Calc!O123+Scenario_Calc!L123)*(1+$B$6)</f>
        <v>206.896549920659</v>
      </c>
      <c r="E123" s="34" t="n">
        <f aca="false">(Scenario_Calc!P123+Scenario_Calc!M123)*(1+$B$6)</f>
        <v>230.394311416943</v>
      </c>
      <c r="F123" s="37" t="n">
        <f aca="false">IF($B$3="Petrol",Forecast_Data!B104,IF(Forecast_Data!G104="","",Forecast_Data!G104))</f>
        <v>169.147270504603</v>
      </c>
      <c r="G123" s="37" t="n">
        <f aca="false">IF($B$3="Petrol",Forecast_Data!C104,IF(Forecast_Data!H104="","",Forecast_Data!H104))</f>
        <v>97.062127684895</v>
      </c>
      <c r="H123" s="37" t="n">
        <f aca="false">IF($B$3="Petrol",Forecast_Data!D104,IF(Forecast_Data!I104="","",Forecast_Data!I104))</f>
        <v>241.232413324311</v>
      </c>
    </row>
    <row r="124" customFormat="false" ht="15" hidden="false" customHeight="false" outlineLevel="0" collapsed="false">
      <c r="A124" s="36" t="n">
        <f aca="false">Forecast_Data!A105</f>
        <v>49430</v>
      </c>
      <c r="B124" s="17" t="n">
        <f aca="false">(ROW()-ROW($A$20))/12</f>
        <v>8.66666666666667</v>
      </c>
      <c r="C124" s="34" t="n">
        <f aca="false">(Scenario_Calc!N124+Scenario_Calc!K124)*(1+$B$6)</f>
        <v>163.37819411021</v>
      </c>
      <c r="D124" s="34" t="n">
        <f aca="false">(Scenario_Calc!O124+Scenario_Calc!L124)*(1+$B$6)</f>
        <v>207.003639260255</v>
      </c>
      <c r="E124" s="34" t="n">
        <f aca="false">(Scenario_Calc!P124+Scenario_Calc!M124)*(1+$B$6)</f>
        <v>230.501400756539</v>
      </c>
      <c r="F124" s="37" t="n">
        <f aca="false">IF($B$3="Petrol",Forecast_Data!B105,IF(Forecast_Data!G105="","",Forecast_Data!G105))</f>
        <v>169.147270504603</v>
      </c>
      <c r="G124" s="37" t="n">
        <f aca="false">IF($B$3="Petrol",Forecast_Data!C105,IF(Forecast_Data!H105="","",Forecast_Data!H105))</f>
        <v>96.7124919807694</v>
      </c>
      <c r="H124" s="37" t="n">
        <f aca="false">IF($B$3="Petrol",Forecast_Data!D105,IF(Forecast_Data!I105="","",Forecast_Data!I105))</f>
        <v>241.582049028437</v>
      </c>
    </row>
    <row r="125" customFormat="false" ht="15" hidden="false" customHeight="false" outlineLevel="0" collapsed="false">
      <c r="A125" s="36" t="n">
        <f aca="false">Forecast_Data!A106</f>
        <v>49461</v>
      </c>
      <c r="B125" s="17" t="n">
        <f aca="false">(ROW()-ROW($A$20))/12</f>
        <v>8.75</v>
      </c>
      <c r="C125" s="34" t="n">
        <f aca="false">(Scenario_Calc!N125+Scenario_Calc!K125)*(1+$B$6)</f>
        <v>163.485460316557</v>
      </c>
      <c r="D125" s="34" t="n">
        <f aca="false">(Scenario_Calc!O125+Scenario_Calc!L125)*(1+$B$6)</f>
        <v>207.110905466602</v>
      </c>
      <c r="E125" s="34" t="n">
        <f aca="false">(Scenario_Calc!P125+Scenario_Calc!M125)*(1+$B$6)</f>
        <v>230.608666962885</v>
      </c>
      <c r="F125" s="37" t="n">
        <f aca="false">IF($B$3="Petrol",Forecast_Data!B106,IF(Forecast_Data!G106="","",Forecast_Data!G106))</f>
        <v>169.147270504603</v>
      </c>
      <c r="G125" s="37" t="n">
        <f aca="false">IF($B$3="Petrol",Forecast_Data!C106,IF(Forecast_Data!H106="","",Forecast_Data!H106))</f>
        <v>96.3645358468839</v>
      </c>
      <c r="H125" s="37" t="n">
        <f aca="false">IF($B$3="Petrol",Forecast_Data!D106,IF(Forecast_Data!I106="","",Forecast_Data!I106))</f>
        <v>241.930005162322</v>
      </c>
    </row>
    <row r="126" customFormat="false" ht="15" hidden="false" customHeight="false" outlineLevel="0" collapsed="false">
      <c r="A126" s="36" t="n">
        <f aca="false">Forecast_Data!A107</f>
        <v>49491</v>
      </c>
      <c r="B126" s="17" t="n">
        <f aca="false">(ROW()-ROW($A$20))/12</f>
        <v>8.83333333333333</v>
      </c>
      <c r="C126" s="34" t="n">
        <f aca="false">(Scenario_Calc!N126+Scenario_Calc!K126)*(1+$B$6)</f>
        <v>163.592903681764</v>
      </c>
      <c r="D126" s="34" t="n">
        <f aca="false">(Scenario_Calc!O126+Scenario_Calc!L126)*(1+$B$6)</f>
        <v>207.218348831809</v>
      </c>
      <c r="E126" s="34" t="n">
        <f aca="false">(Scenario_Calc!P126+Scenario_Calc!M126)*(1+$B$6)</f>
        <v>230.716110328093</v>
      </c>
      <c r="F126" s="37" t="n">
        <f aca="false">IF($B$3="Petrol",Forecast_Data!B107,IF(Forecast_Data!G107="","",Forecast_Data!G107))</f>
        <v>169.147270504603</v>
      </c>
      <c r="G126" s="37" t="n">
        <f aca="false">IF($B$3="Petrol",Forecast_Data!C107,IF(Forecast_Data!H107="","",Forecast_Data!H107))</f>
        <v>96.018235308485</v>
      </c>
      <c r="H126" s="37" t="n">
        <f aca="false">IF($B$3="Petrol",Forecast_Data!D107,IF(Forecast_Data!I107="","",Forecast_Data!I107))</f>
        <v>242.276305700721</v>
      </c>
    </row>
    <row r="127" customFormat="false" ht="15" hidden="false" customHeight="false" outlineLevel="0" collapsed="false">
      <c r="A127" s="36" t="n">
        <f aca="false">Forecast_Data!A108</f>
        <v>49522</v>
      </c>
      <c r="B127" s="17" t="n">
        <f aca="false">(ROW()-ROW($A$20))/12</f>
        <v>8.91666666666667</v>
      </c>
      <c r="C127" s="34" t="n">
        <f aca="false">(Scenario_Calc!N127+Scenario_Calc!K127)*(1+$B$6)</f>
        <v>163.700524498425</v>
      </c>
      <c r="D127" s="34" t="n">
        <f aca="false">(Scenario_Calc!O127+Scenario_Calc!L127)*(1+$B$6)</f>
        <v>207.325969648469</v>
      </c>
      <c r="E127" s="34" t="n">
        <f aca="false">(Scenario_Calc!P127+Scenario_Calc!M127)*(1+$B$6)</f>
        <v>230.823731144753</v>
      </c>
      <c r="F127" s="37" t="n">
        <f aca="false">IF($B$3="Petrol",Forecast_Data!B108,IF(Forecast_Data!G108="","",Forecast_Data!G108))</f>
        <v>169.147270504603</v>
      </c>
      <c r="G127" s="37" t="n">
        <f aca="false">IF($B$3="Petrol",Forecast_Data!C108,IF(Forecast_Data!H108="","",Forecast_Data!H108))</f>
        <v>95.6735669558217</v>
      </c>
      <c r="H127" s="37" t="n">
        <f aca="false">IF($B$3="Petrol",Forecast_Data!D108,IF(Forecast_Data!I108="","",Forecast_Data!I108))</f>
        <v>242.620974053385</v>
      </c>
    </row>
    <row r="128" customFormat="false" ht="15" hidden="false" customHeight="false" outlineLevel="0" collapsed="false">
      <c r="A128" s="36" t="n">
        <f aca="false">Forecast_Data!A109</f>
        <v>49553</v>
      </c>
      <c r="B128" s="17" t="n">
        <f aca="false">(ROW()-ROW($A$20))/12</f>
        <v>9</v>
      </c>
      <c r="C128" s="34" t="n">
        <f aca="false">(Scenario_Calc!N128+Scenario_Calc!K128)*(1+$B$6)</f>
        <v>163.808323059614</v>
      </c>
      <c r="D128" s="34" t="n">
        <f aca="false">(Scenario_Calc!O128+Scenario_Calc!L128)*(1+$B$6)</f>
        <v>207.433768209658</v>
      </c>
      <c r="E128" s="34" t="n">
        <f aca="false">(Scenario_Calc!P128+Scenario_Calc!M128)*(1+$B$6)</f>
        <v>230.931529705942</v>
      </c>
      <c r="F128" s="37" t="n">
        <f aca="false">IF($B$3="Petrol",Forecast_Data!B109,IF(Forecast_Data!G109="","",Forecast_Data!G109))</f>
        <v>169.147270504603</v>
      </c>
      <c r="G128" s="37" t="n">
        <f aca="false">IF($B$3="Petrol",Forecast_Data!C109,IF(Forecast_Data!H109="","",Forecast_Data!H109))</f>
        <v>95.3305079256784</v>
      </c>
      <c r="H128" s="37" t="n">
        <f aca="false">IF($B$3="Petrol",Forecast_Data!D109,IF(Forecast_Data!I109="","",Forecast_Data!I109))</f>
        <v>242.964033083528</v>
      </c>
    </row>
    <row r="129" customFormat="false" ht="15" hidden="false" customHeight="false" outlineLevel="0" collapsed="false">
      <c r="A129" s="36" t="n">
        <f aca="false">Forecast_Data!A110</f>
        <v>49583</v>
      </c>
      <c r="B129" s="17" t="n">
        <f aca="false">(ROW()-ROW($A$20))/12</f>
        <v>9.08333333333333</v>
      </c>
      <c r="C129" s="34" t="n">
        <f aca="false">(Scenario_Calc!N129+Scenario_Calc!K129)*(1+$B$6)</f>
        <v>163.91629965889</v>
      </c>
      <c r="D129" s="34" t="n">
        <f aca="false">(Scenario_Calc!O129+Scenario_Calc!L129)*(1+$B$6)</f>
        <v>207.541744808935</v>
      </c>
      <c r="E129" s="34" t="n">
        <f aca="false">(Scenario_Calc!P129+Scenario_Calc!M129)*(1+$B$6)</f>
        <v>231.039506305219</v>
      </c>
      <c r="F129" s="37" t="n">
        <f aca="false">IF($B$3="Petrol",Forecast_Data!B110,IF(Forecast_Data!G110="","",Forecast_Data!G110))</f>
        <v>169.147270504603</v>
      </c>
      <c r="G129" s="37" t="n">
        <f aca="false">IF($B$3="Petrol",Forecast_Data!C110,IF(Forecast_Data!H110="","",Forecast_Data!H110))</f>
        <v>94.9890358836761</v>
      </c>
      <c r="H129" s="37" t="n">
        <f aca="false">IF($B$3="Petrol",Forecast_Data!D110,IF(Forecast_Data!I110="","",Forecast_Data!I110))</f>
        <v>243.30550512553</v>
      </c>
    </row>
    <row r="130" customFormat="false" ht="15" hidden="false" customHeight="false" outlineLevel="0" collapsed="false">
      <c r="A130" s="36" t="n">
        <f aca="false">Forecast_Data!A111</f>
        <v>49614</v>
      </c>
      <c r="B130" s="17" t="n">
        <f aca="false">(ROW()-ROW($A$20))/12</f>
        <v>9.16666666666667</v>
      </c>
      <c r="C130" s="34" t="n">
        <f aca="false">(Scenario_Calc!N130+Scenario_Calc!K130)*(1+$B$6)</f>
        <v>164.0244545903</v>
      </c>
      <c r="D130" s="34" t="n">
        <f aca="false">(Scenario_Calc!O130+Scenario_Calc!L130)*(1+$B$6)</f>
        <v>207.649899740345</v>
      </c>
      <c r="E130" s="34" t="n">
        <f aca="false">(Scenario_Calc!P130+Scenario_Calc!M130)*(1+$B$6)</f>
        <v>231.147661236628</v>
      </c>
      <c r="F130" s="37" t="n">
        <f aca="false">IF($B$3="Petrol",Forecast_Data!B111,IF(Forecast_Data!G111="","",Forecast_Data!G111))</f>
        <v>169.147270504603</v>
      </c>
      <c r="G130" s="37" t="n">
        <f aca="false">IF($B$3="Petrol",Forecast_Data!C111,IF(Forecast_Data!H111="","",Forecast_Data!H111))</f>
        <v>94.6491290073041</v>
      </c>
      <c r="H130" s="37" t="n">
        <f aca="false">IF($B$3="Petrol",Forecast_Data!D111,IF(Forecast_Data!I111="","",Forecast_Data!I111))</f>
        <v>243.645412001902</v>
      </c>
    </row>
    <row r="131" customFormat="false" ht="15" hidden="false" customHeight="false" outlineLevel="0" collapsed="false">
      <c r="A131" s="36" t="n">
        <f aca="false">Forecast_Data!A112</f>
        <v>49644</v>
      </c>
      <c r="B131" s="17" t="n">
        <f aca="false">(ROW()-ROW($A$20))/12</f>
        <v>9.25</v>
      </c>
      <c r="C131" s="34" t="n">
        <f aca="false">(Scenario_Calc!N131+Scenario_Calc!K131)*(1+$B$6)</f>
        <v>164.132788148372</v>
      </c>
      <c r="D131" s="34" t="n">
        <f aca="false">(Scenario_Calc!O131+Scenario_Calc!L131)*(1+$B$6)</f>
        <v>207.758233298416</v>
      </c>
      <c r="E131" s="34" t="n">
        <f aca="false">(Scenario_Calc!P131+Scenario_Calc!M131)*(1+$B$6)</f>
        <v>231.2559947947</v>
      </c>
      <c r="F131" s="37" t="n">
        <f aca="false">IF($B$3="Petrol",Forecast_Data!B112,IF(Forecast_Data!G112="","",Forecast_Data!G112))</f>
        <v>169.147270504603</v>
      </c>
      <c r="G131" s="37" t="n">
        <f aca="false">IF($B$3="Petrol",Forecast_Data!C112,IF(Forecast_Data!H112="","",Forecast_Data!H112))</f>
        <v>94.3107659696457</v>
      </c>
      <c r="H131" s="37" t="n">
        <f aca="false">IF($B$3="Petrol",Forecast_Data!D112,IF(Forecast_Data!I112="","",Forecast_Data!I112))</f>
        <v>243.983775039561</v>
      </c>
    </row>
    <row r="132" customFormat="false" ht="15" hidden="false" customHeight="false" outlineLevel="0" collapsed="false">
      <c r="A132" s="36" t="n">
        <f aca="false">Forecast_Data!A113</f>
        <v>49675</v>
      </c>
      <c r="B132" s="17" t="n">
        <f aca="false">(ROW()-ROW($A$20))/12</f>
        <v>9.33333333333333</v>
      </c>
      <c r="C132" s="34" t="n">
        <f aca="false">(Scenario_Calc!N132+Scenario_Calc!K132)*(1+$B$6)</f>
        <v>165.665407385473</v>
      </c>
      <c r="D132" s="34" t="n">
        <f aca="false">(Scenario_Calc!O132+Scenario_Calc!L132)*(1+$B$6)</f>
        <v>210.415896873824</v>
      </c>
      <c r="E132" s="34" t="n">
        <f aca="false">(Scenario_Calc!P132+Scenario_Calc!M132)*(1+$B$6)</f>
        <v>234.383613600033</v>
      </c>
      <c r="F132" s="37" t="n">
        <f aca="false">IF($B$3="Petrol",Forecast_Data!B113,IF(Forecast_Data!G113="","",Forecast_Data!G113))</f>
        <v>169.147270504603</v>
      </c>
      <c r="G132" s="37" t="n">
        <f aca="false">IF($B$3="Petrol",Forecast_Data!C113,IF(Forecast_Data!H113="","",Forecast_Data!H113))</f>
        <v>93.9739259237623</v>
      </c>
      <c r="H132" s="37" t="n">
        <f aca="false">IF($B$3="Petrol",Forecast_Data!D113,IF(Forecast_Data!I113="","",Forecast_Data!I113))</f>
        <v>244.320615085444</v>
      </c>
    </row>
    <row r="133" customFormat="false" ht="15" hidden="false" customHeight="false" outlineLevel="0" collapsed="false">
      <c r="A133" s="36" t="n">
        <f aca="false">Forecast_Data!A114</f>
        <v>49706</v>
      </c>
      <c r="B133" s="17" t="n">
        <f aca="false">(ROW()-ROW($A$20))/12</f>
        <v>9.41666666666667</v>
      </c>
      <c r="C133" s="34" t="n">
        <f aca="false">(Scenario_Calc!N133+Scenario_Calc!K133)*(1+$B$6)</f>
        <v>165.774099082406</v>
      </c>
      <c r="D133" s="34" t="n">
        <f aca="false">(Scenario_Calc!O133+Scenario_Calc!L133)*(1+$B$6)</f>
        <v>210.524588570757</v>
      </c>
      <c r="E133" s="34" t="n">
        <f aca="false">(Scenario_Calc!P133+Scenario_Calc!M133)*(1+$B$6)</f>
        <v>234.492305296967</v>
      </c>
      <c r="F133" s="37" t="n">
        <f aca="false">IF($B$3="Petrol",Forecast_Data!B114,IF(Forecast_Data!G114="","",Forecast_Data!G114))</f>
        <v>169.147270504603</v>
      </c>
      <c r="G133" s="37" t="n">
        <f aca="false">IF($B$3="Petrol",Forecast_Data!C114,IF(Forecast_Data!H114="","",Forecast_Data!H114))</f>
        <v>93.6385884877055</v>
      </c>
      <c r="H133" s="37" t="n">
        <f aca="false">IF($B$3="Petrol",Forecast_Data!D114,IF(Forecast_Data!I114="","",Forecast_Data!I114))</f>
        <v>244.655952521501</v>
      </c>
    </row>
    <row r="134" customFormat="false" ht="15" hidden="false" customHeight="false" outlineLevel="0" collapsed="false">
      <c r="A134" s="36" t="n">
        <f aca="false">Forecast_Data!A115</f>
        <v>49735</v>
      </c>
      <c r="B134" s="17" t="n">
        <f aca="false">(ROW()-ROW($A$20))/12</f>
        <v>9.5</v>
      </c>
      <c r="C134" s="34" t="n">
        <f aca="false">(Scenario_Calc!N134+Scenario_Calc!K134)*(1+$B$6)</f>
        <v>165.882970292513</v>
      </c>
      <c r="D134" s="34" t="n">
        <f aca="false">(Scenario_Calc!O134+Scenario_Calc!L134)*(1+$B$6)</f>
        <v>210.633459780865</v>
      </c>
      <c r="E134" s="34" t="n">
        <f aca="false">(Scenario_Calc!P134+Scenario_Calc!M134)*(1+$B$6)</f>
        <v>234.601176507074</v>
      </c>
      <c r="F134" s="37" t="n">
        <f aca="false">IF($B$3="Petrol",Forecast_Data!B115,IF(Forecast_Data!G115="","",Forecast_Data!G115))</f>
        <v>169.147270504603</v>
      </c>
      <c r="G134" s="37" t="n">
        <f aca="false">IF($B$3="Petrol",Forecast_Data!C115,IF(Forecast_Data!H115="","",Forecast_Data!H115))</f>
        <v>93.3047337301249</v>
      </c>
      <c r="H134" s="37" t="n">
        <f aca="false">IF($B$3="Petrol",Forecast_Data!D115,IF(Forecast_Data!I115="","",Forecast_Data!I115))</f>
        <v>244.989807279081</v>
      </c>
    </row>
    <row r="135" customFormat="false" ht="15" hidden="false" customHeight="false" outlineLevel="0" collapsed="false">
      <c r="A135" s="36" t="n">
        <f aca="false">Forecast_Data!A116</f>
        <v>49766</v>
      </c>
      <c r="B135" s="17" t="n">
        <f aca="false">(ROW()-ROW($A$20))/12</f>
        <v>9.58333333333333</v>
      </c>
      <c r="C135" s="34" t="n">
        <f aca="false">(Scenario_Calc!N135+Scenario_Calc!K135)*(1+$B$6)</f>
        <v>165.992021312276</v>
      </c>
      <c r="D135" s="34" t="n">
        <f aca="false">(Scenario_Calc!O135+Scenario_Calc!L135)*(1+$B$6)</f>
        <v>212.966823539579</v>
      </c>
      <c r="E135" s="34" t="n">
        <f aca="false">(Scenario_Calc!P135+Scenario_Calc!M135)*(1+$B$6)</f>
        <v>236.934540265789</v>
      </c>
      <c r="F135" s="37" t="n">
        <f aca="false">IF($B$3="Petrol",Forecast_Data!B116,IF(Forecast_Data!G116="","",Forecast_Data!G116))</f>
        <v>169.147270504603</v>
      </c>
      <c r="G135" s="37" t="n">
        <f aca="false">IF($B$3="Petrol",Forecast_Data!C116,IF(Forecast_Data!H116="","",Forecast_Data!H116))</f>
        <v>92.9723421564438</v>
      </c>
      <c r="H135" s="37" t="n">
        <f aca="false">IF($B$3="Petrol",Forecast_Data!D116,IF(Forecast_Data!I116="","",Forecast_Data!I116))</f>
        <v>245.322198852763</v>
      </c>
    </row>
    <row r="136" customFormat="false" ht="15" hidden="false" customHeight="false" outlineLevel="0" collapsed="false">
      <c r="A136" s="36" t="n">
        <f aca="false">Forecast_Data!A117</f>
        <v>49796</v>
      </c>
      <c r="B136" s="17" t="n">
        <f aca="false">(ROW()-ROW($A$20))/12</f>
        <v>9.66666666666667</v>
      </c>
      <c r="C136" s="34" t="n">
        <f aca="false">(Scenario_Calc!N136+Scenario_Calc!K136)*(1+$B$6)</f>
        <v>166.101252438663</v>
      </c>
      <c r="D136" s="34" t="n">
        <f aca="false">(Scenario_Calc!O136+Scenario_Calc!L136)*(1+$B$6)</f>
        <v>213.076054665967</v>
      </c>
      <c r="E136" s="34" t="n">
        <f aca="false">(Scenario_Calc!P136+Scenario_Calc!M136)*(1+$B$6)</f>
        <v>237.043771392176</v>
      </c>
      <c r="F136" s="37" t="n">
        <f aca="false">IF($B$3="Petrol",Forecast_Data!B117,IF(Forecast_Data!G117="","",Forecast_Data!G117))</f>
        <v>169.147270504603</v>
      </c>
      <c r="G136" s="37" t="n">
        <f aca="false">IF($B$3="Petrol",Forecast_Data!C117,IF(Forecast_Data!H117="","",Forecast_Data!H117))</f>
        <v>92.6413946955757</v>
      </c>
      <c r="H136" s="37" t="n">
        <f aca="false">IF($B$3="Petrol",Forecast_Data!D117,IF(Forecast_Data!I117="","",Forecast_Data!I117))</f>
        <v>245.653146313631</v>
      </c>
    </row>
    <row r="137" customFormat="false" ht="15" hidden="false" customHeight="false" outlineLevel="0" collapsed="false">
      <c r="A137" s="36" t="n">
        <f aca="false">Forecast_Data!A118</f>
        <v>49827</v>
      </c>
      <c r="B137" s="17" t="n">
        <f aca="false">(ROW()-ROW($A$20))/12</f>
        <v>9.75</v>
      </c>
      <c r="C137" s="34" t="n">
        <f aca="false">(Scenario_Calc!N137+Scenario_Calc!K137)*(1+$B$6)</f>
        <v>166.210663969137</v>
      </c>
      <c r="D137" s="34" t="n">
        <f aca="false">(Scenario_Calc!O137+Scenario_Calc!L137)*(1+$B$6)</f>
        <v>213.185466196441</v>
      </c>
      <c r="E137" s="34" t="n">
        <f aca="false">(Scenario_Calc!P137+Scenario_Calc!M137)*(1+$B$6)</f>
        <v>237.15318292265</v>
      </c>
      <c r="F137" s="37" t="n">
        <f aca="false">IF($B$3="Petrol",Forecast_Data!B118,IF(Forecast_Data!G118="","",Forecast_Data!G118))</f>
        <v>169.147270504603</v>
      </c>
      <c r="G137" s="37" t="n">
        <f aca="false">IF($B$3="Petrol",Forecast_Data!C118,IF(Forecast_Data!H118="","",Forecast_Data!H118))</f>
        <v>92.3118726871554</v>
      </c>
      <c r="H137" s="37" t="n">
        <f aca="false">IF($B$3="Petrol",Forecast_Data!D118,IF(Forecast_Data!I118="","",Forecast_Data!I118))</f>
        <v>245.982668322051</v>
      </c>
    </row>
    <row r="138" customFormat="false" ht="15" hidden="false" customHeight="false" outlineLevel="0" collapsed="false">
      <c r="A138" s="36" t="n">
        <f aca="false">Forecast_Data!A119</f>
        <v>49857</v>
      </c>
      <c r="B138" s="17" t="n">
        <f aca="false">(ROW()-ROW($A$20))/12</f>
        <v>9.83333333333333</v>
      </c>
      <c r="C138" s="34" t="n">
        <f aca="false">(Scenario_Calc!N138+Scenario_Calc!K138)*(1+$B$6)</f>
        <v>166.320256201648</v>
      </c>
      <c r="D138" s="34" t="n">
        <f aca="false">(Scenario_Calc!O138+Scenario_Calc!L138)*(1+$B$6)</f>
        <v>213.295058428952</v>
      </c>
      <c r="E138" s="34" t="n">
        <f aca="false">(Scenario_Calc!P138+Scenario_Calc!M138)*(1+$B$6)</f>
        <v>237.262775155161</v>
      </c>
      <c r="F138" s="37" t="n">
        <f aca="false">IF($B$3="Petrol",Forecast_Data!B119,IF(Forecast_Data!G119="","",Forecast_Data!G119))</f>
        <v>169.147270504603</v>
      </c>
      <c r="G138" s="37" t="n">
        <f aca="false">IF($B$3="Petrol",Forecast_Data!C119,IF(Forecast_Data!H119="","",Forecast_Data!H119))</f>
        <v>91.9837578692612</v>
      </c>
      <c r="H138" s="37" t="n">
        <f aca="false">IF($B$3="Petrol",Forecast_Data!D119,IF(Forecast_Data!I119="","",Forecast_Data!I119))</f>
        <v>246.310783139945</v>
      </c>
    </row>
    <row r="139" customFormat="false" ht="15" hidden="false" customHeight="false" outlineLevel="0" collapsed="false">
      <c r="A139" s="36" t="n">
        <f aca="false">Forecast_Data!A120</f>
        <v>49888</v>
      </c>
      <c r="B139" s="17" t="n">
        <f aca="false">(ROW()-ROW($A$20))/12</f>
        <v>9.91666666666667</v>
      </c>
      <c r="C139" s="34" t="n">
        <f aca="false">(Scenario_Calc!N139+Scenario_Calc!K139)*(1+$B$6)</f>
        <v>166.430029434642</v>
      </c>
      <c r="D139" s="34" t="n">
        <f aca="false">(Scenario_Calc!O139+Scenario_Calc!L139)*(1+$B$6)</f>
        <v>213.404831661946</v>
      </c>
      <c r="E139" s="34" t="n">
        <f aca="false">(Scenario_Calc!P139+Scenario_Calc!M139)*(1+$B$6)</f>
        <v>237.372548388155</v>
      </c>
      <c r="F139" s="37" t="n">
        <f aca="false">IF($B$3="Petrol",Forecast_Data!B120,IF(Forecast_Data!G120="","",Forecast_Data!G120))</f>
        <v>169.147270504603</v>
      </c>
      <c r="G139" s="37" t="n">
        <f aca="false">IF($B$3="Petrol",Forecast_Data!C120,IF(Forecast_Data!H120="","",Forecast_Data!H120))</f>
        <v>91.6570323666047</v>
      </c>
      <c r="H139" s="37" t="n">
        <f aca="false">IF($B$3="Petrol",Forecast_Data!D120,IF(Forecast_Data!I120="","",Forecast_Data!I120))</f>
        <v>246.637508642602</v>
      </c>
    </row>
    <row r="140" customFormat="false" ht="15" hidden="false" customHeight="false" outlineLevel="0" collapsed="false">
      <c r="A140" s="36" t="n">
        <f aca="false">Forecast_Data!A121</f>
        <v>49919</v>
      </c>
      <c r="B140" s="17" t="n">
        <f aca="false">(ROW()-ROW($A$20))/12</f>
        <v>10</v>
      </c>
      <c r="C140" s="34" t="n">
        <f aca="false">(Scenario_Calc!N140+Scenario_Calc!K140)*(1+$B$6)</f>
        <v>166.539983967055</v>
      </c>
      <c r="D140" s="34" t="n">
        <f aca="false">(Scenario_Calc!O140+Scenario_Calc!L140)*(1+$B$6)</f>
        <v>213.514786194358</v>
      </c>
      <c r="E140" s="34" t="n">
        <f aca="false">(Scenario_Calc!P140+Scenario_Calc!M140)*(1+$B$6)</f>
        <v>237.482502920567</v>
      </c>
      <c r="F140" s="37" t="n">
        <f aca="false">IF($B$3="Petrol",Forecast_Data!B121,IF(Forecast_Data!G121="","",Forecast_Data!G121))</f>
        <v>169.147270504603</v>
      </c>
      <c r="G140" s="37" t="n">
        <f aca="false">IF($B$3="Petrol",Forecast_Data!C121,IF(Forecast_Data!H121="","",Forecast_Data!H121))</f>
        <v>91.3316786791674</v>
      </c>
      <c r="H140" s="37" t="n">
        <f aca="false">IF($B$3="Petrol",Forecast_Data!D121,IF(Forecast_Data!I121="","",Forecast_Data!I121))</f>
        <v>246.962862330039</v>
      </c>
    </row>
  </sheetData>
  <dataValidations count="1">
    <dataValidation allowBlank="false" errorStyle="stop" operator="between" showDropDown="false" showErrorMessage="false" showInputMessage="false" sqref="B3" type="list">
      <formula1>"Petrol,Diesel"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4" activeCellId="0" sqref="D24"/>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6"/>
    <col collapsed="false" customWidth="true" hidden="false" outlineLevel="0" max="4" min="4" style="0" width="95"/>
    <col collapsed="false" customWidth="true" hidden="false" outlineLevel="0" max="5" min="5" style="0" width="16"/>
  </cols>
  <sheetData>
    <row r="1" customFormat="false" ht="18" hidden="false" customHeight="true" outlineLevel="0" collapsed="false">
      <c r="A1" s="24" t="s">
        <v>156</v>
      </c>
    </row>
    <row r="2" customFormat="false" ht="15" hidden="false" customHeight="false" outlineLevel="0" collapsed="false">
      <c r="A2" s="19" t="s">
        <v>157</v>
      </c>
    </row>
    <row r="4" customFormat="false" ht="15" hidden="false" customHeight="false" outlineLevel="0" collapsed="false">
      <c r="A4" s="38" t="s">
        <v>158</v>
      </c>
      <c r="B4" s="38" t="s">
        <v>159</v>
      </c>
      <c r="C4" s="38" t="s">
        <v>160</v>
      </c>
      <c r="D4" s="38" t="s">
        <v>161</v>
      </c>
    </row>
    <row r="5" customFormat="false" ht="27.75" hidden="false" customHeight="true" outlineLevel="0" collapsed="false">
      <c r="A5" s="11" t="s">
        <v>162</v>
      </c>
      <c r="B5" s="39" t="n">
        <v>91</v>
      </c>
      <c r="C5" s="11" t="s">
        <v>163</v>
      </c>
      <c r="D5" s="7" t="s">
        <v>164</v>
      </c>
    </row>
    <row r="6" customFormat="false" ht="27.75" hidden="false" customHeight="true" outlineLevel="0" collapsed="false">
      <c r="A6" s="11" t="s">
        <v>165</v>
      </c>
      <c r="B6" s="16" t="n">
        <v>1.34</v>
      </c>
      <c r="C6" s="11" t="s">
        <v>166</v>
      </c>
      <c r="D6" s="7" t="s">
        <v>167</v>
      </c>
    </row>
    <row r="7" customFormat="false" ht="15" hidden="false" customHeight="false" outlineLevel="0" collapsed="false">
      <c r="A7" s="11" t="s">
        <v>168</v>
      </c>
      <c r="B7" s="40" t="n">
        <v>158.987</v>
      </c>
      <c r="C7" s="11" t="s">
        <v>169</v>
      </c>
      <c r="D7" s="7" t="s">
        <v>170</v>
      </c>
    </row>
    <row r="8" customFormat="false" ht="15" hidden="false" customHeight="false" outlineLevel="0" collapsed="false">
      <c r="A8" s="11" t="s">
        <v>171</v>
      </c>
      <c r="B8" s="41" t="n">
        <v>0.034</v>
      </c>
      <c r="C8" s="11" t="s">
        <v>172</v>
      </c>
      <c r="D8" s="7" t="s">
        <v>173</v>
      </c>
    </row>
    <row r="9" customFormat="false" ht="27.75" hidden="false" customHeight="true" outlineLevel="0" collapsed="false">
      <c r="A9" s="11" t="s">
        <v>174</v>
      </c>
      <c r="B9" s="41" t="n">
        <v>0.023</v>
      </c>
      <c r="C9" s="11" t="s">
        <v>172</v>
      </c>
      <c r="D9" s="7" t="s">
        <v>175</v>
      </c>
    </row>
    <row r="10" customFormat="false" ht="27.75" hidden="false" customHeight="true" outlineLevel="0" collapsed="false">
      <c r="A10" s="11" t="s">
        <v>176</v>
      </c>
      <c r="B10" s="41" t="n">
        <v>0.02</v>
      </c>
      <c r="C10" s="11" t="s">
        <v>172</v>
      </c>
      <c r="D10" s="7" t="s">
        <v>177</v>
      </c>
    </row>
    <row r="11" customFormat="false" ht="27.75" hidden="false" customHeight="true" outlineLevel="0" collapsed="false">
      <c r="A11" s="11" t="s">
        <v>178</v>
      </c>
      <c r="B11" s="42" t="n">
        <v>1</v>
      </c>
      <c r="C11" s="11" t="s">
        <v>179</v>
      </c>
      <c r="D11" s="7" t="s">
        <v>180</v>
      </c>
    </row>
    <row r="12" customFormat="false" ht="15" hidden="false" customHeight="false" outlineLevel="0" collapsed="false">
      <c r="A12" s="11" t="s">
        <v>181</v>
      </c>
      <c r="B12" s="16" t="n">
        <v>57.95</v>
      </c>
      <c r="C12" s="11" t="s">
        <v>182</v>
      </c>
      <c r="D12" s="7" t="s">
        <v>183</v>
      </c>
    </row>
    <row r="13" customFormat="false" ht="15" hidden="false" customHeight="false" outlineLevel="0" collapsed="false">
      <c r="A13" s="11" t="s">
        <v>184</v>
      </c>
      <c r="B13" s="21" t="n">
        <f aca="false">B12-Scenarios!B5</f>
        <v>5</v>
      </c>
      <c r="C13" s="11" t="s">
        <v>182</v>
      </c>
      <c r="D13" s="7" t="s">
        <v>185</v>
      </c>
    </row>
    <row r="14" customFormat="false" ht="27.75" hidden="false" customHeight="true" outlineLevel="0" collapsed="false">
      <c r="A14" s="11" t="s">
        <v>186</v>
      </c>
      <c r="B14" s="15" t="n">
        <v>46388</v>
      </c>
      <c r="C14" s="11" t="s">
        <v>187</v>
      </c>
      <c r="D14" s="7" t="s">
        <v>188</v>
      </c>
    </row>
    <row r="15" customFormat="false" ht="15" hidden="false" customHeight="false" outlineLevel="0" collapsed="false">
      <c r="A15" s="11" t="s">
        <v>189</v>
      </c>
      <c r="B15" s="41" t="n">
        <v>0.029</v>
      </c>
      <c r="C15" s="11" t="s">
        <v>172</v>
      </c>
      <c r="D15" s="7" t="s">
        <v>190</v>
      </c>
    </row>
    <row r="16" customFormat="false" ht="15" hidden="false" customHeight="false" outlineLevel="0" collapsed="false">
      <c r="A16" s="11" t="s">
        <v>191</v>
      </c>
      <c r="B16" s="41" t="n">
        <v>0.024</v>
      </c>
      <c r="C16" s="11" t="s">
        <v>172</v>
      </c>
      <c r="D16" s="7" t="s">
        <v>192</v>
      </c>
    </row>
    <row r="17" customFormat="false" ht="15" hidden="false" customHeight="false" outlineLevel="0" collapsed="false">
      <c r="A17" s="11" t="s">
        <v>193</v>
      </c>
      <c r="B17" s="43" t="n">
        <f aca="false">(3*B15+7*B16)/10</f>
        <v>0.0255</v>
      </c>
      <c r="C17" s="11" t="s">
        <v>172</v>
      </c>
      <c r="D17" s="7" t="s">
        <v>194</v>
      </c>
    </row>
    <row r="18" customFormat="false" ht="15" hidden="false" customHeight="false" outlineLevel="0" collapsed="false">
      <c r="A18" s="11" t="s">
        <v>195</v>
      </c>
      <c r="B18" s="39" t="n">
        <v>2027</v>
      </c>
      <c r="C18" s="11" t="s">
        <v>196</v>
      </c>
      <c r="D18" s="7" t="s">
        <v>197</v>
      </c>
    </row>
    <row r="20" customFormat="false" ht="15" hidden="false" customHeight="false" outlineLevel="0" collapsed="false">
      <c r="A20" s="25" t="s">
        <v>198</v>
      </c>
    </row>
    <row r="21" customFormat="false" ht="30" hidden="false" customHeight="true" outlineLevel="0" collapsed="false">
      <c r="A21" s="33" t="s">
        <v>99</v>
      </c>
      <c r="B21" s="33" t="s">
        <v>199</v>
      </c>
      <c r="C21" s="33" t="s">
        <v>200</v>
      </c>
      <c r="D21" s="33" t="s">
        <v>201</v>
      </c>
      <c r="E21" s="33" t="s">
        <v>202</v>
      </c>
    </row>
    <row r="22" customFormat="false" ht="15" hidden="false" customHeight="false" outlineLevel="0" collapsed="false">
      <c r="A22" s="10" t="n">
        <v>2026</v>
      </c>
      <c r="B22" s="39" t="n">
        <v>47</v>
      </c>
      <c r="C22" s="39" t="n">
        <v>66</v>
      </c>
      <c r="D22" s="39" t="n">
        <v>91</v>
      </c>
      <c r="E22" s="44" t="n">
        <f aca="false">(1+B8)*(1+B9)</f>
        <v>1.057782</v>
      </c>
    </row>
    <row r="23" customFormat="false" ht="15" hidden="false" customHeight="false" outlineLevel="0" collapsed="false">
      <c r="A23" s="10" t="n">
        <v>2027</v>
      </c>
      <c r="B23" s="39" t="n">
        <v>42</v>
      </c>
      <c r="C23" s="39" t="n">
        <v>64</v>
      </c>
      <c r="D23" s="39" t="n">
        <v>96</v>
      </c>
      <c r="E23" s="44" t="n">
        <f aca="false">E22*(1+$B$10)</f>
        <v>1.07893764</v>
      </c>
    </row>
    <row r="24" customFormat="false" ht="15" hidden="false" customHeight="false" outlineLevel="0" collapsed="false">
      <c r="A24" s="10" t="n">
        <v>2028</v>
      </c>
      <c r="B24" s="39" t="n">
        <v>43</v>
      </c>
      <c r="C24" s="39" t="n">
        <v>65</v>
      </c>
      <c r="D24" s="39" t="n">
        <v>98</v>
      </c>
      <c r="E24" s="44" t="n">
        <f aca="false">E23*(1+$B$10)</f>
        <v>1.1005163928</v>
      </c>
    </row>
    <row r="25" customFormat="false" ht="15" hidden="false" customHeight="false" outlineLevel="0" collapsed="false">
      <c r="A25" s="10" t="n">
        <v>2029</v>
      </c>
      <c r="B25" s="39" t="n">
        <v>44</v>
      </c>
      <c r="C25" s="39" t="n">
        <v>67</v>
      </c>
      <c r="D25" s="39" t="n">
        <v>100</v>
      </c>
      <c r="E25" s="44" t="n">
        <f aca="false">E24*(1+$B$10)</f>
        <v>1.122526720656</v>
      </c>
    </row>
    <row r="26" customFormat="false" ht="15" hidden="false" customHeight="false" outlineLevel="0" collapsed="false">
      <c r="A26" s="10" t="n">
        <v>2030</v>
      </c>
      <c r="B26" s="39" t="n">
        <v>45</v>
      </c>
      <c r="C26" s="39" t="n">
        <v>69</v>
      </c>
      <c r="D26" s="39" t="n">
        <v>102</v>
      </c>
      <c r="E26" s="44" t="n">
        <f aca="false">E25*(1+$B$10)</f>
        <v>1.14497725506912</v>
      </c>
    </row>
    <row r="27" customFormat="false" ht="15" hidden="false" customHeight="false" outlineLevel="0" collapsed="false">
      <c r="A27" s="10" t="n">
        <v>2031</v>
      </c>
      <c r="B27" s="39" t="n">
        <v>46</v>
      </c>
      <c r="C27" s="39" t="n">
        <v>71</v>
      </c>
      <c r="D27" s="39" t="n">
        <v>103</v>
      </c>
      <c r="E27" s="44" t="n">
        <f aca="false">E26*(1+$B$10)</f>
        <v>1.1678768001705</v>
      </c>
    </row>
    <row r="28" customFormat="false" ht="15" hidden="false" customHeight="false" outlineLevel="0" collapsed="false">
      <c r="A28" s="10" t="n">
        <v>2032</v>
      </c>
      <c r="B28" s="39" t="n">
        <v>47</v>
      </c>
      <c r="C28" s="39" t="n">
        <v>72</v>
      </c>
      <c r="D28" s="39" t="n">
        <v>105</v>
      </c>
      <c r="E28" s="44" t="n">
        <f aca="false">E27*(1+$B$10)</f>
        <v>1.19123433617391</v>
      </c>
    </row>
    <row r="29" customFormat="false" ht="15" hidden="false" customHeight="false" outlineLevel="0" collapsed="false">
      <c r="A29" s="10" t="n">
        <v>2033</v>
      </c>
      <c r="B29" s="39" t="n">
        <v>47</v>
      </c>
      <c r="C29" s="39" t="n">
        <v>74</v>
      </c>
      <c r="D29" s="39" t="n">
        <v>107</v>
      </c>
      <c r="E29" s="44" t="n">
        <f aca="false">E28*(1+$B$10)</f>
        <v>1.21505902289739</v>
      </c>
    </row>
    <row r="30" customFormat="false" ht="15" hidden="false" customHeight="false" outlineLevel="0" collapsed="false">
      <c r="A30" s="10" t="n">
        <v>2034</v>
      </c>
      <c r="B30" s="39" t="n">
        <v>48</v>
      </c>
      <c r="C30" s="39" t="n">
        <v>76</v>
      </c>
      <c r="D30" s="39" t="n">
        <v>109</v>
      </c>
      <c r="E30" s="44" t="n">
        <f aca="false">E29*(1+$B$10)</f>
        <v>1.23936020335534</v>
      </c>
    </row>
    <row r="31" customFormat="false" ht="15" hidden="false" customHeight="false" outlineLevel="0" collapsed="false">
      <c r="A31" s="10" t="n">
        <v>2035</v>
      </c>
      <c r="B31" s="39" t="n">
        <v>49</v>
      </c>
      <c r="C31" s="39" t="n">
        <v>77</v>
      </c>
      <c r="D31" s="39" t="n">
        <v>110</v>
      </c>
      <c r="E31" s="44" t="n">
        <f aca="false">E30*(1+$B$10)</f>
        <v>1.26414740742245</v>
      </c>
    </row>
    <row r="32" customFormat="false" ht="15" hidden="false" customHeight="false" outlineLevel="0" collapsed="false">
      <c r="A32" s="10" t="n">
        <v>2036</v>
      </c>
      <c r="B32" s="39" t="n">
        <v>50</v>
      </c>
      <c r="C32" s="39" t="n">
        <v>79</v>
      </c>
      <c r="D32" s="39" t="n">
        <v>112</v>
      </c>
      <c r="E32" s="44" t="n">
        <f aca="false">E31*(1+$B$10)</f>
        <v>1.28943035557089</v>
      </c>
    </row>
    <row r="34" customFormat="false" ht="15" hidden="false" customHeight="false" outlineLevel="0" collapsed="false">
      <c r="A34" s="19" t="s">
        <v>203</v>
      </c>
    </row>
    <row r="35" customFormat="false" ht="15" hidden="false" customHeight="false" outlineLevel="0" collapsed="false">
      <c r="A35" s="19" t="s">
        <v>204</v>
      </c>
    </row>
    <row r="36" customFormat="false" ht="15" hidden="false" customHeight="false" outlineLevel="0" collapsed="false">
      <c r="A36" s="19" t="s">
        <v>205</v>
      </c>
    </row>
    <row r="37" customFormat="false" ht="15" hidden="false" customHeight="false" outlineLevel="0" collapsed="false">
      <c r="A37" s="19" t="s">
        <v>206</v>
      </c>
    </row>
    <row r="38" customFormat="false" ht="15" hidden="false" customHeight="false" outlineLevel="0" collapsed="false">
      <c r="A38" s="19" t="s">
        <v>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0" topLeftCell="C67" activePane="bottomRight" state="frozen"/>
      <selection pane="topLeft" activeCell="A1" activeCellId="0" sqref="A1"/>
      <selection pane="topRight" activeCell="C1" activeCellId="0" sqref="C1"/>
      <selection pane="bottomLeft" activeCell="A67" activeCellId="0" sqref="A67"/>
      <selection pane="bottomRight" activeCell="C3" activeCellId="0" sqref="C3"/>
    </sheetView>
  </sheetViews>
  <sheetFormatPr defaultColWidth="8.66796875" defaultRowHeight="15" zeroHeight="false" outlineLevelRow="0" outlineLevelCol="0"/>
  <cols>
    <col collapsed="false" customWidth="true" hidden="false" outlineLevel="0" max="1" min="1" style="0" width="12"/>
    <col collapsed="false" customWidth="true" hidden="false" outlineLevel="0" max="16" min="2" style="0" width="15"/>
  </cols>
  <sheetData>
    <row r="1" customFormat="false" ht="18" hidden="false" customHeight="true" outlineLevel="0" collapsed="false">
      <c r="A1" s="24" t="s">
        <v>208</v>
      </c>
    </row>
    <row r="2" customFormat="false" ht="15" hidden="false" customHeight="false" outlineLevel="0" collapsed="false">
      <c r="A2" s="19" t="s">
        <v>209</v>
      </c>
    </row>
    <row r="20" customFormat="false" ht="42" hidden="false" customHeight="true" outlineLevel="0" collapsed="false">
      <c r="A20" s="33" t="s">
        <v>93</v>
      </c>
      <c r="B20" s="33" t="s">
        <v>155</v>
      </c>
      <c r="C20" s="33" t="s">
        <v>202</v>
      </c>
      <c r="D20" s="33" t="s">
        <v>210</v>
      </c>
      <c r="E20" s="33" t="s">
        <v>211</v>
      </c>
      <c r="F20" s="33" t="s">
        <v>212</v>
      </c>
      <c r="G20" s="33" t="s">
        <v>213</v>
      </c>
      <c r="H20" s="33" t="s">
        <v>214</v>
      </c>
      <c r="I20" s="33" t="s">
        <v>215</v>
      </c>
      <c r="J20" s="33" t="s">
        <v>216</v>
      </c>
      <c r="K20" s="33" t="s">
        <v>217</v>
      </c>
      <c r="L20" s="33" t="s">
        <v>218</v>
      </c>
      <c r="M20" s="33" t="s">
        <v>219</v>
      </c>
      <c r="N20" s="33" t="s">
        <v>220</v>
      </c>
      <c r="O20" s="33" t="s">
        <v>221</v>
      </c>
      <c r="P20" s="33" t="s">
        <v>222</v>
      </c>
    </row>
    <row r="21" customFormat="false" ht="15" hidden="false" customHeight="false" outlineLevel="0" collapsed="false">
      <c r="A21" s="36" t="n">
        <f aca="false">Scenarios!A21</f>
        <v>46296</v>
      </c>
      <c r="B21" s="21" t="n">
        <f aca="false">Scenarios!B21</f>
        <v>0.0833333333333333</v>
      </c>
      <c r="C21" s="44" t="n">
        <f aca="false">INDEX(Assumptions!$E$22:$E$32,MATCH(YEAR($A21),Assumptions!$A$22:$A$32,0))</f>
        <v>1.057782</v>
      </c>
      <c r="D21" s="34" t="n">
        <f aca="false">Assumptions!$B$5+(INDEX(Assumptions!$B$22:$B$32,MATCH(YEAR($A21),Assumptions!$A$22:$A$32,0))*$C21-Assumptions!$B$5)*MIN(1,$B21/Assumptions!$B$11)</f>
        <v>87.5596461666667</v>
      </c>
      <c r="E21" s="34" t="n">
        <f aca="false">Assumptions!$B$5+(INDEX(Assumptions!$C$22:$C$32,MATCH(YEAR($A21),Assumptions!$A$22:$A$32,0))*$C21-Assumptions!$B$5)*MIN(1,$B21/Assumptions!$B$11)</f>
        <v>89.2344676666667</v>
      </c>
      <c r="F21" s="34" t="n">
        <f aca="false">Assumptions!$B$5+(INDEX(Assumptions!$D$22:$D$32,MATCH(YEAR($A21),Assumptions!$A$22:$A$32,0))*$C21-Assumptions!$B$5)*MIN(1,$B21/Assumptions!$B$11)</f>
        <v>91.4381801666667</v>
      </c>
      <c r="G21" s="34" t="n">
        <f aca="false">(Scenarios!$B$7-Scenarios!$B$8)*(1+Assumptions!$B$10)^$B21</f>
        <v>45.6629091776088</v>
      </c>
      <c r="H21" s="34" t="n">
        <f aca="false">D21*100/(Assumptions!$B$7*Assumptions!$B$6)</f>
        <v>41.0995990410305</v>
      </c>
      <c r="I21" s="34" t="n">
        <f aca="false">E21*100/(Assumptions!$B$7*Assumptions!$B$6)</f>
        <v>41.885743059752</v>
      </c>
      <c r="J21" s="34" t="n">
        <f aca="false">F21*100/(Assumptions!$B$7*Assumptions!$B$6)</f>
        <v>42.9201430843856</v>
      </c>
      <c r="K21" s="34" t="n">
        <f aca="false">(Scenarios!$B$5+Scenarios!C$12*($A21&gt;=Assumptions!$B$14))*(1+Scenarios!C$13)^MAX(0,YEAR($A21)-Assumptions!$B$18+(MONTH($A21)&gt;=4))</f>
        <v>52.95</v>
      </c>
      <c r="L21" s="34" t="n">
        <f aca="false">(Scenarios!$B$5+Scenarios!D$12*($A21&gt;=Assumptions!$B$14))*(1+Scenarios!D$13)^MAX(0,YEAR($A21)-Assumptions!$B$18+(MONTH($A21)&gt;=4))</f>
        <v>52.95</v>
      </c>
      <c r="M21" s="34" t="n">
        <f aca="false">(Scenarios!$B$5+Scenarios!E$12*($A21&gt;=Assumptions!$B$14))*(1+Scenarios!E$13)^MAX(0,YEAR($A21)-Assumptions!$B$18+(MONTH($A21)&gt;=4))</f>
        <v>52.95</v>
      </c>
      <c r="N21" s="34" t="n">
        <f aca="false">$G21+H21</f>
        <v>86.7625082186393</v>
      </c>
      <c r="O21" s="34" t="n">
        <f aca="false">$G21+I21</f>
        <v>87.5486522373608</v>
      </c>
      <c r="P21" s="34" t="n">
        <f aca="false">$G21+J21</f>
        <v>88.5830522619944</v>
      </c>
    </row>
    <row r="22" customFormat="false" ht="15" hidden="false" customHeight="false" outlineLevel="0" collapsed="false">
      <c r="A22" s="36" t="n">
        <f aca="false">Scenarios!A22</f>
        <v>46327</v>
      </c>
      <c r="B22" s="21" t="n">
        <f aca="false">Scenarios!B22</f>
        <v>0.166666666666667</v>
      </c>
      <c r="C22" s="44" t="n">
        <f aca="false">INDEX(Assumptions!$E$22:$E$32,MATCH(YEAR($A22),Assumptions!$A$22:$A$32,0))</f>
        <v>1.057782</v>
      </c>
      <c r="D22" s="34" t="n">
        <f aca="false">Assumptions!$B$5+(INDEX(Assumptions!$B$22:$B$32,MATCH(YEAR($A22),Assumptions!$A$22:$A$32,0))*$C22-Assumptions!$B$5)*MIN(1,$B22/Assumptions!$B$11)</f>
        <v>84.1192923333333</v>
      </c>
      <c r="E22" s="34" t="n">
        <f aca="false">Assumptions!$B$5+(INDEX(Assumptions!$C$22:$C$32,MATCH(YEAR($A22),Assumptions!$A$22:$A$32,0))*$C22-Assumptions!$B$5)*MIN(1,$B22/Assumptions!$B$11)</f>
        <v>87.4689353333333</v>
      </c>
      <c r="F22" s="34" t="n">
        <f aca="false">Assumptions!$B$5+(INDEX(Assumptions!$D$22:$D$32,MATCH(YEAR($A22),Assumptions!$A$22:$A$32,0))*$C22-Assumptions!$B$5)*MIN(1,$B22/Assumptions!$B$11)</f>
        <v>91.8763603333333</v>
      </c>
      <c r="G22" s="34" t="n">
        <f aca="false">(Scenarios!$B$7-Scenarios!$B$8)*(1+Assumptions!$B$10)^$B22</f>
        <v>45.7383251845978</v>
      </c>
      <c r="H22" s="34" t="n">
        <f aca="false">D22*100/(Assumptions!$B$7*Assumptions!$B$6)</f>
        <v>39.4847322696399</v>
      </c>
      <c r="I22" s="34" t="n">
        <f aca="false">E22*100/(Assumptions!$B$7*Assumptions!$B$6)</f>
        <v>41.0570203070829</v>
      </c>
      <c r="J22" s="34" t="n">
        <f aca="false">F22*100/(Assumptions!$B$7*Assumptions!$B$6)</f>
        <v>43.1258203563501</v>
      </c>
      <c r="K22" s="34" t="n">
        <f aca="false">(Scenarios!$B$5+Scenarios!C$12*($A22&gt;=Assumptions!$B$14))*(1+Scenarios!C$13)^MAX(0,YEAR($A22)-Assumptions!$B$18+(MONTH($A22)&gt;=4))</f>
        <v>52.95</v>
      </c>
      <c r="L22" s="34" t="n">
        <f aca="false">(Scenarios!$B$5+Scenarios!D$12*($A22&gt;=Assumptions!$B$14))*(1+Scenarios!D$13)^MAX(0,YEAR($A22)-Assumptions!$B$18+(MONTH($A22)&gt;=4))</f>
        <v>52.95</v>
      </c>
      <c r="M22" s="34" t="n">
        <f aca="false">(Scenarios!$B$5+Scenarios!E$12*($A22&gt;=Assumptions!$B$14))*(1+Scenarios!E$13)^MAX(0,YEAR($A22)-Assumptions!$B$18+(MONTH($A22)&gt;=4))</f>
        <v>52.95</v>
      </c>
      <c r="N22" s="34" t="n">
        <f aca="false">$G22+H22</f>
        <v>85.2230574542377</v>
      </c>
      <c r="O22" s="34" t="n">
        <f aca="false">$G22+I22</f>
        <v>86.7953454916807</v>
      </c>
      <c r="P22" s="34" t="n">
        <f aca="false">$G22+J22</f>
        <v>88.8641455409479</v>
      </c>
    </row>
    <row r="23" customFormat="false" ht="15" hidden="false" customHeight="false" outlineLevel="0" collapsed="false">
      <c r="A23" s="36" t="n">
        <f aca="false">Scenarios!A23</f>
        <v>46357</v>
      </c>
      <c r="B23" s="21" t="n">
        <f aca="false">Scenarios!B23</f>
        <v>0.25</v>
      </c>
      <c r="C23" s="44" t="n">
        <f aca="false">INDEX(Assumptions!$E$22:$E$32,MATCH(YEAR($A23),Assumptions!$A$22:$A$32,0))</f>
        <v>1.057782</v>
      </c>
      <c r="D23" s="34" t="n">
        <f aca="false">Assumptions!$B$5+(INDEX(Assumptions!$B$22:$B$32,MATCH(YEAR($A23),Assumptions!$A$22:$A$32,0))*$C23-Assumptions!$B$5)*MIN(1,$B23/Assumptions!$B$11)</f>
        <v>80.6789385</v>
      </c>
      <c r="E23" s="34" t="n">
        <f aca="false">Assumptions!$B$5+(INDEX(Assumptions!$C$22:$C$32,MATCH(YEAR($A23),Assumptions!$A$22:$A$32,0))*$C23-Assumptions!$B$5)*MIN(1,$B23/Assumptions!$B$11)</f>
        <v>85.703403</v>
      </c>
      <c r="F23" s="34" t="n">
        <f aca="false">Assumptions!$B$5+(INDEX(Assumptions!$D$22:$D$32,MATCH(YEAR($A23),Assumptions!$A$22:$A$32,0))*$C23-Assumptions!$B$5)*MIN(1,$B23/Assumptions!$B$11)</f>
        <v>92.3145405</v>
      </c>
      <c r="G23" s="34" t="n">
        <f aca="false">(Scenarios!$B$7-Scenarios!$B$8)*(1+Assumptions!$B$10)^$B23</f>
        <v>45.8138657472538</v>
      </c>
      <c r="H23" s="34" t="n">
        <f aca="false">D23*100/(Assumptions!$B$7*Assumptions!$B$6)</f>
        <v>37.8698654982492</v>
      </c>
      <c r="I23" s="34" t="n">
        <f aca="false">E23*100/(Assumptions!$B$7*Assumptions!$B$6)</f>
        <v>40.2282975544138</v>
      </c>
      <c r="J23" s="34" t="n">
        <f aca="false">F23*100/(Assumptions!$B$7*Assumptions!$B$6)</f>
        <v>43.3314976283145</v>
      </c>
      <c r="K23" s="34" t="n">
        <f aca="false">(Scenarios!$B$5+Scenarios!C$12*($A23&gt;=Assumptions!$B$14))*(1+Scenarios!C$13)^MAX(0,YEAR($A23)-Assumptions!$B$18+(MONTH($A23)&gt;=4))</f>
        <v>52.95</v>
      </c>
      <c r="L23" s="34" t="n">
        <f aca="false">(Scenarios!$B$5+Scenarios!D$12*($A23&gt;=Assumptions!$B$14))*(1+Scenarios!D$13)^MAX(0,YEAR($A23)-Assumptions!$B$18+(MONTH($A23)&gt;=4))</f>
        <v>52.95</v>
      </c>
      <c r="M23" s="34" t="n">
        <f aca="false">(Scenarios!$B$5+Scenarios!E$12*($A23&gt;=Assumptions!$B$14))*(1+Scenarios!E$13)^MAX(0,YEAR($A23)-Assumptions!$B$18+(MONTH($A23)&gt;=4))</f>
        <v>52.95</v>
      </c>
      <c r="N23" s="34" t="n">
        <f aca="false">$G23+H23</f>
        <v>83.6837312455031</v>
      </c>
      <c r="O23" s="34" t="n">
        <f aca="false">$G23+I23</f>
        <v>86.0421633016676</v>
      </c>
      <c r="P23" s="34" t="n">
        <f aca="false">$G23+J23</f>
        <v>89.1453633755683</v>
      </c>
    </row>
    <row r="24" customFormat="false" ht="15" hidden="false" customHeight="false" outlineLevel="0" collapsed="false">
      <c r="A24" s="36" t="n">
        <f aca="false">Scenarios!A24</f>
        <v>46388</v>
      </c>
      <c r="B24" s="21" t="n">
        <f aca="false">Scenarios!B24</f>
        <v>0.333333333333333</v>
      </c>
      <c r="C24" s="44" t="n">
        <f aca="false">INDEX(Assumptions!$E$22:$E$32,MATCH(YEAR($A24),Assumptions!$A$22:$A$32,0))</f>
        <v>1.07893764</v>
      </c>
      <c r="D24" s="34" t="n">
        <f aca="false">Assumptions!$B$5+(INDEX(Assumptions!$B$22:$B$32,MATCH(YEAR($A24),Assumptions!$A$22:$A$32,0))*$C24-Assumptions!$B$5)*MIN(1,$B24/Assumptions!$B$11)</f>
        <v>75.7717936266667</v>
      </c>
      <c r="E24" s="34" t="n">
        <f aca="false">Assumptions!$B$5+(INDEX(Assumptions!$C$22:$C$32,MATCH(YEAR($A24),Assumptions!$A$22:$A$32,0))*$C24-Assumptions!$B$5)*MIN(1,$B24/Assumptions!$B$11)</f>
        <v>83.6840029866667</v>
      </c>
      <c r="F24" s="34" t="n">
        <f aca="false">Assumptions!$B$5+(INDEX(Assumptions!$D$22:$D$32,MATCH(YEAR($A24),Assumptions!$A$22:$A$32,0))*$C24-Assumptions!$B$5)*MIN(1,$B24/Assumptions!$B$11)</f>
        <v>95.1926711466667</v>
      </c>
      <c r="G24" s="34" t="n">
        <f aca="false">(Scenarios!$B$7-Scenarios!$B$8)*(1+Assumptions!$B$10)^$B24</f>
        <v>45.8895310712907</v>
      </c>
      <c r="H24" s="34" t="n">
        <f aca="false">D24*100/(Assumptions!$B$7*Assumptions!$B$6)</f>
        <v>35.5665020704625</v>
      </c>
      <c r="I24" s="34" t="n">
        <f aca="false">E24*100/(Assumptions!$B$7*Assumptions!$B$6)</f>
        <v>39.2804119189069</v>
      </c>
      <c r="J24" s="34" t="n">
        <f aca="false">F24*100/(Assumptions!$B$7*Assumptions!$B$6)</f>
        <v>44.6824626075532</v>
      </c>
      <c r="K24" s="34" t="n">
        <f aca="false">(Scenarios!$B$5+Scenarios!C$12*($A24&gt;=Assumptions!$B$14))*(1+Scenarios!C$13)^MAX(0,YEAR($A24)-Assumptions!$B$18+(MONTH($A24)&gt;=4))</f>
        <v>52.95</v>
      </c>
      <c r="L24" s="34" t="n">
        <f aca="false">(Scenarios!$B$5+Scenarios!D$12*($A24&gt;=Assumptions!$B$14))*(1+Scenarios!D$13)^MAX(0,YEAR($A24)-Assumptions!$B$18+(MONTH($A24)&gt;=4))</f>
        <v>57.95</v>
      </c>
      <c r="M24" s="34" t="n">
        <f aca="false">(Scenarios!$B$5+Scenarios!E$12*($A24&gt;=Assumptions!$B$14))*(1+Scenarios!E$13)^MAX(0,YEAR($A24)-Assumptions!$B$18+(MONTH($A24)&gt;=4))</f>
        <v>57.95</v>
      </c>
      <c r="N24" s="34" t="n">
        <f aca="false">$G24+H24</f>
        <v>81.4560331417532</v>
      </c>
      <c r="O24" s="34" t="n">
        <f aca="false">$G24+I24</f>
        <v>85.1699429901975</v>
      </c>
      <c r="P24" s="34" t="n">
        <f aca="false">$G24+J24</f>
        <v>90.5719936788439</v>
      </c>
    </row>
    <row r="25" customFormat="false" ht="15" hidden="false" customHeight="false" outlineLevel="0" collapsed="false">
      <c r="A25" s="36" t="n">
        <f aca="false">Scenarios!A25</f>
        <v>46419</v>
      </c>
      <c r="B25" s="21" t="n">
        <f aca="false">Scenarios!B25</f>
        <v>0.416666666666667</v>
      </c>
      <c r="C25" s="44" t="n">
        <f aca="false">INDEX(Assumptions!$E$22:$E$32,MATCH(YEAR($A25),Assumptions!$A$22:$A$32,0))</f>
        <v>1.07893764</v>
      </c>
      <c r="D25" s="34" t="n">
        <f aca="false">Assumptions!$B$5+(INDEX(Assumptions!$B$22:$B$32,MATCH(YEAR($A25),Assumptions!$A$22:$A$32,0))*$C25-Assumptions!$B$5)*MIN(1,$B25/Assumptions!$B$11)</f>
        <v>71.9647420333333</v>
      </c>
      <c r="E25" s="34" t="n">
        <f aca="false">Assumptions!$B$5+(INDEX(Assumptions!$C$22:$C$32,MATCH(YEAR($A25),Assumptions!$A$22:$A$32,0))*$C25-Assumptions!$B$5)*MIN(1,$B25/Assumptions!$B$11)</f>
        <v>81.8550037333333</v>
      </c>
      <c r="F25" s="34" t="n">
        <f aca="false">Assumptions!$B$5+(INDEX(Assumptions!$D$22:$D$32,MATCH(YEAR($A25),Assumptions!$A$22:$A$32,0))*$C25-Assumptions!$B$5)*MIN(1,$B25/Assumptions!$B$11)</f>
        <v>96.2408389333333</v>
      </c>
      <c r="G25" s="34" t="n">
        <f aca="false">(Scenarios!$B$7-Scenarios!$B$8)*(1+Assumptions!$B$10)^$B25</f>
        <v>45.9653213627619</v>
      </c>
      <c r="H25" s="34" t="n">
        <f aca="false">D25*100/(Assumptions!$B$7*Assumptions!$B$6)</f>
        <v>33.7795111349728</v>
      </c>
      <c r="I25" s="34" t="n">
        <f aca="false">E25*100/(Assumptions!$B$7*Assumptions!$B$6)</f>
        <v>38.4218984455283</v>
      </c>
      <c r="J25" s="34" t="n">
        <f aca="false">F25*100/(Assumptions!$B$7*Assumptions!$B$6)</f>
        <v>45.1744618063363</v>
      </c>
      <c r="K25" s="34" t="n">
        <f aca="false">(Scenarios!$B$5+Scenarios!C$12*($A25&gt;=Assumptions!$B$14))*(1+Scenarios!C$13)^MAX(0,YEAR($A25)-Assumptions!$B$18+(MONTH($A25)&gt;=4))</f>
        <v>52.95</v>
      </c>
      <c r="L25" s="34" t="n">
        <f aca="false">(Scenarios!$B$5+Scenarios!D$12*($A25&gt;=Assumptions!$B$14))*(1+Scenarios!D$13)^MAX(0,YEAR($A25)-Assumptions!$B$18+(MONTH($A25)&gt;=4))</f>
        <v>57.95</v>
      </c>
      <c r="M25" s="34" t="n">
        <f aca="false">(Scenarios!$B$5+Scenarios!E$12*($A25&gt;=Assumptions!$B$14))*(1+Scenarios!E$13)^MAX(0,YEAR($A25)-Assumptions!$B$18+(MONTH($A25)&gt;=4))</f>
        <v>57.95</v>
      </c>
      <c r="N25" s="34" t="n">
        <f aca="false">$G25+H25</f>
        <v>79.7448324977347</v>
      </c>
      <c r="O25" s="34" t="n">
        <f aca="false">$G25+I25</f>
        <v>84.3872198082902</v>
      </c>
      <c r="P25" s="34" t="n">
        <f aca="false">$G25+J25</f>
        <v>91.1397831690982</v>
      </c>
    </row>
    <row r="26" customFormat="false" ht="15" hidden="false" customHeight="false" outlineLevel="0" collapsed="false">
      <c r="A26" s="36" t="n">
        <f aca="false">Scenarios!A26</f>
        <v>46447</v>
      </c>
      <c r="B26" s="21" t="n">
        <f aca="false">Scenarios!B26</f>
        <v>0.5</v>
      </c>
      <c r="C26" s="44" t="n">
        <f aca="false">INDEX(Assumptions!$E$22:$E$32,MATCH(YEAR($A26),Assumptions!$A$22:$A$32,0))</f>
        <v>1.07893764</v>
      </c>
      <c r="D26" s="34" t="n">
        <f aca="false">Assumptions!$B$5+(INDEX(Assumptions!$B$22:$B$32,MATCH(YEAR($A26),Assumptions!$A$22:$A$32,0))*$C26-Assumptions!$B$5)*MIN(1,$B26/Assumptions!$B$11)</f>
        <v>68.15769044</v>
      </c>
      <c r="E26" s="34" t="n">
        <f aca="false">Assumptions!$B$5+(INDEX(Assumptions!$C$22:$C$32,MATCH(YEAR($A26),Assumptions!$A$22:$A$32,0))*$C26-Assumptions!$B$5)*MIN(1,$B26/Assumptions!$B$11)</f>
        <v>80.02600448</v>
      </c>
      <c r="F26" s="34" t="n">
        <f aca="false">Assumptions!$B$5+(INDEX(Assumptions!$D$22:$D$32,MATCH(YEAR($A26),Assumptions!$A$22:$A$32,0))*$C26-Assumptions!$B$5)*MIN(1,$B26/Assumptions!$B$11)</f>
        <v>97.28900672</v>
      </c>
      <c r="G26" s="34" t="n">
        <f aca="false">(Scenarios!$B$7-Scenarios!$B$8)*(1+Assumptions!$B$10)^$B26</f>
        <v>46.0412368280614</v>
      </c>
      <c r="H26" s="34" t="n">
        <f aca="false">D26*100/(Assumptions!$B$7*Assumptions!$B$6)</f>
        <v>31.9925201994831</v>
      </c>
      <c r="I26" s="34" t="n">
        <f aca="false">E26*100/(Assumptions!$B$7*Assumptions!$B$6)</f>
        <v>37.5633849721497</v>
      </c>
      <c r="J26" s="34" t="n">
        <f aca="false">F26*100/(Assumptions!$B$7*Assumptions!$B$6)</f>
        <v>45.6664610051193</v>
      </c>
      <c r="K26" s="34" t="n">
        <f aca="false">(Scenarios!$B$5+Scenarios!C$12*($A26&gt;=Assumptions!$B$14))*(1+Scenarios!C$13)^MAX(0,YEAR($A26)-Assumptions!$B$18+(MONTH($A26)&gt;=4))</f>
        <v>52.95</v>
      </c>
      <c r="L26" s="34" t="n">
        <f aca="false">(Scenarios!$B$5+Scenarios!D$12*($A26&gt;=Assumptions!$B$14))*(1+Scenarios!D$13)^MAX(0,YEAR($A26)-Assumptions!$B$18+(MONTH($A26)&gt;=4))</f>
        <v>57.95</v>
      </c>
      <c r="M26" s="34" t="n">
        <f aca="false">(Scenarios!$B$5+Scenarios!E$12*($A26&gt;=Assumptions!$B$14))*(1+Scenarios!E$13)^MAX(0,YEAR($A26)-Assumptions!$B$18+(MONTH($A26)&gt;=4))</f>
        <v>57.95</v>
      </c>
      <c r="N26" s="34" t="n">
        <f aca="false">$G26+H26</f>
        <v>78.0337570275445</v>
      </c>
      <c r="O26" s="34" t="n">
        <f aca="false">$G26+I26</f>
        <v>83.6046218002111</v>
      </c>
      <c r="P26" s="34" t="n">
        <f aca="false">$G26+J26</f>
        <v>91.7076978331807</v>
      </c>
    </row>
    <row r="27" customFormat="false" ht="15" hidden="false" customHeight="false" outlineLevel="0" collapsed="false">
      <c r="A27" s="36" t="n">
        <f aca="false">Scenarios!A27</f>
        <v>46478</v>
      </c>
      <c r="B27" s="21" t="n">
        <f aca="false">Scenarios!B27</f>
        <v>0.583333333333333</v>
      </c>
      <c r="C27" s="44" t="n">
        <f aca="false">INDEX(Assumptions!$E$22:$E$32,MATCH(YEAR($A27),Assumptions!$A$22:$A$32,0))</f>
        <v>1.07893764</v>
      </c>
      <c r="D27" s="34" t="n">
        <f aca="false">Assumptions!$B$5+(INDEX(Assumptions!$B$22:$B$32,MATCH(YEAR($A27),Assumptions!$A$22:$A$32,0))*$C27-Assumptions!$B$5)*MIN(1,$B27/Assumptions!$B$11)</f>
        <v>64.3506388466667</v>
      </c>
      <c r="E27" s="34" t="n">
        <f aca="false">Assumptions!$B$5+(INDEX(Assumptions!$C$22:$C$32,MATCH(YEAR($A27),Assumptions!$A$22:$A$32,0))*$C27-Assumptions!$B$5)*MIN(1,$B27/Assumptions!$B$11)</f>
        <v>78.1970052266667</v>
      </c>
      <c r="F27" s="34" t="n">
        <f aca="false">Assumptions!$B$5+(INDEX(Assumptions!$D$22:$D$32,MATCH(YEAR($A27),Assumptions!$A$22:$A$32,0))*$C27-Assumptions!$B$5)*MIN(1,$B27/Assumptions!$B$11)</f>
        <v>98.3371745066667</v>
      </c>
      <c r="G27" s="34" t="n">
        <f aca="false">(Scenarios!$B$7-Scenarios!$B$8)*(1+Assumptions!$B$10)^$B27</f>
        <v>46.1172776739239</v>
      </c>
      <c r="H27" s="34" t="n">
        <f aca="false">D27*100/(Assumptions!$B$7*Assumptions!$B$6)</f>
        <v>30.2055292639935</v>
      </c>
      <c r="I27" s="34" t="n">
        <f aca="false">E27*100/(Assumptions!$B$7*Assumptions!$B$6)</f>
        <v>36.7048714987711</v>
      </c>
      <c r="J27" s="34" t="n">
        <f aca="false">F27*100/(Assumptions!$B$7*Assumptions!$B$6)</f>
        <v>46.1584602039023</v>
      </c>
      <c r="K27" s="34" t="n">
        <f aca="false">(Scenarios!$B$5+Scenarios!C$12*($A27&gt;=Assumptions!$B$14))*(1+Scenarios!C$13)^MAX(0,YEAR($A27)-Assumptions!$B$18+(MONTH($A27)&gt;=4))</f>
        <v>52.95</v>
      </c>
      <c r="L27" s="34" t="n">
        <f aca="false">(Scenarios!$B$5+Scenarios!D$12*($A27&gt;=Assumptions!$B$14))*(1+Scenarios!D$13)^MAX(0,YEAR($A27)-Assumptions!$B$18+(MONTH($A27)&gt;=4))</f>
        <v>59.427725</v>
      </c>
      <c r="M27" s="34" t="n">
        <f aca="false">(Scenarios!$B$5+Scenarios!E$12*($A27&gt;=Assumptions!$B$14))*(1+Scenarios!E$13)^MAX(0,YEAR($A27)-Assumptions!$B$18+(MONTH($A27)&gt;=4))</f>
        <v>59.427725</v>
      </c>
      <c r="N27" s="34" t="n">
        <f aca="false">$G27+H27</f>
        <v>76.3228069379174</v>
      </c>
      <c r="O27" s="34" t="n">
        <f aca="false">$G27+I27</f>
        <v>82.822149172695</v>
      </c>
      <c r="P27" s="34" t="n">
        <f aca="false">$G27+J27</f>
        <v>92.2757378778262</v>
      </c>
    </row>
    <row r="28" customFormat="false" ht="15" hidden="false" customHeight="false" outlineLevel="0" collapsed="false">
      <c r="A28" s="36" t="n">
        <f aca="false">Scenarios!A28</f>
        <v>46508</v>
      </c>
      <c r="B28" s="21" t="n">
        <f aca="false">Scenarios!B28</f>
        <v>0.666666666666667</v>
      </c>
      <c r="C28" s="44" t="n">
        <f aca="false">INDEX(Assumptions!$E$22:$E$32,MATCH(YEAR($A28),Assumptions!$A$22:$A$32,0))</f>
        <v>1.07893764</v>
      </c>
      <c r="D28" s="34" t="n">
        <f aca="false">Assumptions!$B$5+(INDEX(Assumptions!$B$22:$B$32,MATCH(YEAR($A28),Assumptions!$A$22:$A$32,0))*$C28-Assumptions!$B$5)*MIN(1,$B28/Assumptions!$B$11)</f>
        <v>60.5435872533333</v>
      </c>
      <c r="E28" s="34" t="n">
        <f aca="false">Assumptions!$B$5+(INDEX(Assumptions!$C$22:$C$32,MATCH(YEAR($A28),Assumptions!$A$22:$A$32,0))*$C28-Assumptions!$B$5)*MIN(1,$B28/Assumptions!$B$11)</f>
        <v>76.3680059733333</v>
      </c>
      <c r="F28" s="34" t="n">
        <f aca="false">Assumptions!$B$5+(INDEX(Assumptions!$D$22:$D$32,MATCH(YEAR($A28),Assumptions!$A$22:$A$32,0))*$C28-Assumptions!$B$5)*MIN(1,$B28/Assumptions!$B$11)</f>
        <v>99.3853422933333</v>
      </c>
      <c r="G28" s="34" t="n">
        <f aca="false">(Scenarios!$B$7-Scenarios!$B$8)*(1+Assumptions!$B$10)^$B28</f>
        <v>46.1934441074256</v>
      </c>
      <c r="H28" s="34" t="n">
        <f aca="false">D28*100/(Assumptions!$B$7*Assumptions!$B$6)</f>
        <v>28.4185383285038</v>
      </c>
      <c r="I28" s="34" t="n">
        <f aca="false">E28*100/(Assumptions!$B$7*Assumptions!$B$6)</f>
        <v>35.8463580253925</v>
      </c>
      <c r="J28" s="34" t="n">
        <f aca="false">F28*100/(Assumptions!$B$7*Assumptions!$B$6)</f>
        <v>46.6504594026853</v>
      </c>
      <c r="K28" s="34" t="n">
        <f aca="false">(Scenarios!$B$5+Scenarios!C$12*($A28&gt;=Assumptions!$B$14))*(1+Scenarios!C$13)^MAX(0,YEAR($A28)-Assumptions!$B$18+(MONTH($A28)&gt;=4))</f>
        <v>52.95</v>
      </c>
      <c r="L28" s="34" t="n">
        <f aca="false">(Scenarios!$B$5+Scenarios!D$12*($A28&gt;=Assumptions!$B$14))*(1+Scenarios!D$13)^MAX(0,YEAR($A28)-Assumptions!$B$18+(MONTH($A28)&gt;=4))</f>
        <v>59.427725</v>
      </c>
      <c r="M28" s="34" t="n">
        <f aca="false">(Scenarios!$B$5+Scenarios!E$12*($A28&gt;=Assumptions!$B$14))*(1+Scenarios!E$13)^MAX(0,YEAR($A28)-Assumptions!$B$18+(MONTH($A28)&gt;=4))</f>
        <v>59.427725</v>
      </c>
      <c r="N28" s="34" t="n">
        <f aca="false">$G28+H28</f>
        <v>74.6119824359294</v>
      </c>
      <c r="O28" s="34" t="n">
        <f aca="false">$G28+I28</f>
        <v>82.0398021328182</v>
      </c>
      <c r="P28" s="34" t="n">
        <f aca="false">$G28+J28</f>
        <v>92.8439035101109</v>
      </c>
    </row>
    <row r="29" customFormat="false" ht="15" hidden="false" customHeight="false" outlineLevel="0" collapsed="false">
      <c r="A29" s="36" t="n">
        <f aca="false">Scenarios!A29</f>
        <v>46539</v>
      </c>
      <c r="B29" s="21" t="n">
        <f aca="false">Scenarios!B29</f>
        <v>0.75</v>
      </c>
      <c r="C29" s="44" t="n">
        <f aca="false">INDEX(Assumptions!$E$22:$E$32,MATCH(YEAR($A29),Assumptions!$A$22:$A$32,0))</f>
        <v>1.07893764</v>
      </c>
      <c r="D29" s="34" t="n">
        <f aca="false">Assumptions!$B$5+(INDEX(Assumptions!$B$22:$B$32,MATCH(YEAR($A29),Assumptions!$A$22:$A$32,0))*$C29-Assumptions!$B$5)*MIN(1,$B29/Assumptions!$B$11)</f>
        <v>56.73653566</v>
      </c>
      <c r="E29" s="34" t="n">
        <f aca="false">Assumptions!$B$5+(INDEX(Assumptions!$C$22:$C$32,MATCH(YEAR($A29),Assumptions!$A$22:$A$32,0))*$C29-Assumptions!$B$5)*MIN(1,$B29/Assumptions!$B$11)</f>
        <v>74.53900672</v>
      </c>
      <c r="F29" s="34" t="n">
        <f aca="false">Assumptions!$B$5+(INDEX(Assumptions!$D$22:$D$32,MATCH(YEAR($A29),Assumptions!$A$22:$A$32,0))*$C29-Assumptions!$B$5)*MIN(1,$B29/Assumptions!$B$11)</f>
        <v>100.43351008</v>
      </c>
      <c r="G29" s="34" t="n">
        <f aca="false">(Scenarios!$B$7-Scenarios!$B$8)*(1+Assumptions!$B$10)^$B29</f>
        <v>46.2697363359847</v>
      </c>
      <c r="H29" s="34" t="n">
        <f aca="false">D29*100/(Assumptions!$B$7*Assumptions!$B$6)</f>
        <v>26.6315473930141</v>
      </c>
      <c r="I29" s="34" t="n">
        <f aca="false">E29*100/(Assumptions!$B$7*Assumptions!$B$6)</f>
        <v>34.987844552014</v>
      </c>
      <c r="J29" s="34" t="n">
        <f aca="false">F29*100/(Assumptions!$B$7*Assumptions!$B$6)</f>
        <v>47.1424586014683</v>
      </c>
      <c r="K29" s="34" t="n">
        <f aca="false">(Scenarios!$B$5+Scenarios!C$12*($A29&gt;=Assumptions!$B$14))*(1+Scenarios!C$13)^MAX(0,YEAR($A29)-Assumptions!$B$18+(MONTH($A29)&gt;=4))</f>
        <v>52.95</v>
      </c>
      <c r="L29" s="34" t="n">
        <f aca="false">(Scenarios!$B$5+Scenarios!D$12*($A29&gt;=Assumptions!$B$14))*(1+Scenarios!D$13)^MAX(0,YEAR($A29)-Assumptions!$B$18+(MONTH($A29)&gt;=4))</f>
        <v>59.427725</v>
      </c>
      <c r="M29" s="34" t="n">
        <f aca="false">(Scenarios!$B$5+Scenarios!E$12*($A29&gt;=Assumptions!$B$14))*(1+Scenarios!E$13)^MAX(0,YEAR($A29)-Assumptions!$B$18+(MONTH($A29)&gt;=4))</f>
        <v>59.427725</v>
      </c>
      <c r="N29" s="34" t="n">
        <f aca="false">$G29+H29</f>
        <v>72.9012837289989</v>
      </c>
      <c r="O29" s="34" t="n">
        <f aca="false">$G29+I29</f>
        <v>81.2575808879987</v>
      </c>
      <c r="P29" s="34" t="n">
        <f aca="false">$G29+J29</f>
        <v>93.4121949374531</v>
      </c>
    </row>
    <row r="30" customFormat="false" ht="15" hidden="false" customHeight="false" outlineLevel="0" collapsed="false">
      <c r="A30" s="36" t="n">
        <f aca="false">Scenarios!A30</f>
        <v>46569</v>
      </c>
      <c r="B30" s="21" t="n">
        <f aca="false">Scenarios!B30</f>
        <v>0.833333333333333</v>
      </c>
      <c r="C30" s="44" t="n">
        <f aca="false">INDEX(Assumptions!$E$22:$E$32,MATCH(YEAR($A30),Assumptions!$A$22:$A$32,0))</f>
        <v>1.07893764</v>
      </c>
      <c r="D30" s="34" t="n">
        <f aca="false">Assumptions!$B$5+(INDEX(Assumptions!$B$22:$B$32,MATCH(YEAR($A30),Assumptions!$A$22:$A$32,0))*$C30-Assumptions!$B$5)*MIN(1,$B30/Assumptions!$B$11)</f>
        <v>52.9294840666667</v>
      </c>
      <c r="E30" s="34" t="n">
        <f aca="false">Assumptions!$B$5+(INDEX(Assumptions!$C$22:$C$32,MATCH(YEAR($A30),Assumptions!$A$22:$A$32,0))*$C30-Assumptions!$B$5)*MIN(1,$B30/Assumptions!$B$11)</f>
        <v>72.7100074666667</v>
      </c>
      <c r="F30" s="34" t="n">
        <f aca="false">Assumptions!$B$5+(INDEX(Assumptions!$D$22:$D$32,MATCH(YEAR($A30),Assumptions!$A$22:$A$32,0))*$C30-Assumptions!$B$5)*MIN(1,$B30/Assumptions!$B$11)</f>
        <v>101.481677866667</v>
      </c>
      <c r="G30" s="34" t="n">
        <f aca="false">(Scenarios!$B$7-Scenarios!$B$8)*(1+Assumptions!$B$10)^$B30</f>
        <v>46.346154567362</v>
      </c>
      <c r="H30" s="34" t="n">
        <f aca="false">D30*100/(Assumptions!$B$7*Assumptions!$B$6)</f>
        <v>24.8445564575244</v>
      </c>
      <c r="I30" s="34" t="n">
        <f aca="false">E30*100/(Assumptions!$B$7*Assumptions!$B$6)</f>
        <v>34.1293310786354</v>
      </c>
      <c r="J30" s="34" t="n">
        <f aca="false">F30*100/(Assumptions!$B$7*Assumptions!$B$6)</f>
        <v>47.6344578002513</v>
      </c>
      <c r="K30" s="34" t="n">
        <f aca="false">(Scenarios!$B$5+Scenarios!C$12*($A30&gt;=Assumptions!$B$14))*(1+Scenarios!C$13)^MAX(0,YEAR($A30)-Assumptions!$B$18+(MONTH($A30)&gt;=4))</f>
        <v>52.95</v>
      </c>
      <c r="L30" s="34" t="n">
        <f aca="false">(Scenarios!$B$5+Scenarios!D$12*($A30&gt;=Assumptions!$B$14))*(1+Scenarios!D$13)^MAX(0,YEAR($A30)-Assumptions!$B$18+(MONTH($A30)&gt;=4))</f>
        <v>59.427725</v>
      </c>
      <c r="M30" s="34" t="n">
        <f aca="false">(Scenarios!$B$5+Scenarios!E$12*($A30&gt;=Assumptions!$B$14))*(1+Scenarios!E$13)^MAX(0,YEAR($A30)-Assumptions!$B$18+(MONTH($A30)&gt;=4))</f>
        <v>59.427725</v>
      </c>
      <c r="N30" s="34" t="n">
        <f aca="false">$G30+H30</f>
        <v>71.1907110248865</v>
      </c>
      <c r="O30" s="34" t="n">
        <f aca="false">$G30+I30</f>
        <v>80.4754856459974</v>
      </c>
      <c r="P30" s="34" t="n">
        <f aca="false">$G30+J30</f>
        <v>93.9806123676133</v>
      </c>
    </row>
    <row r="31" customFormat="false" ht="15" hidden="false" customHeight="false" outlineLevel="0" collapsed="false">
      <c r="A31" s="36" t="n">
        <f aca="false">Scenarios!A31</f>
        <v>46600</v>
      </c>
      <c r="B31" s="21" t="n">
        <f aca="false">Scenarios!B31</f>
        <v>0.916666666666667</v>
      </c>
      <c r="C31" s="44" t="n">
        <f aca="false">INDEX(Assumptions!$E$22:$E$32,MATCH(YEAR($A31),Assumptions!$A$22:$A$32,0))</f>
        <v>1.07893764</v>
      </c>
      <c r="D31" s="34" t="n">
        <f aca="false">Assumptions!$B$5+(INDEX(Assumptions!$B$22:$B$32,MATCH(YEAR($A31),Assumptions!$A$22:$A$32,0))*$C31-Assumptions!$B$5)*MIN(1,$B31/Assumptions!$B$11)</f>
        <v>49.1224324733333</v>
      </c>
      <c r="E31" s="34" t="n">
        <f aca="false">Assumptions!$B$5+(INDEX(Assumptions!$C$22:$C$32,MATCH(YEAR($A31),Assumptions!$A$22:$A$32,0))*$C31-Assumptions!$B$5)*MIN(1,$B31/Assumptions!$B$11)</f>
        <v>70.8810082133333</v>
      </c>
      <c r="F31" s="34" t="n">
        <f aca="false">Assumptions!$B$5+(INDEX(Assumptions!$D$22:$D$32,MATCH(YEAR($A31),Assumptions!$A$22:$A$32,0))*$C31-Assumptions!$B$5)*MIN(1,$B31/Assumptions!$B$11)</f>
        <v>102.529845653333</v>
      </c>
      <c r="G31" s="34" t="n">
        <f aca="false">(Scenarios!$B$7-Scenarios!$B$8)*(1+Assumptions!$B$10)^$B31</f>
        <v>46.4226990096614</v>
      </c>
      <c r="H31" s="34" t="n">
        <f aca="false">D31*100/(Assumptions!$B$7*Assumptions!$B$6)</f>
        <v>23.0575655220348</v>
      </c>
      <c r="I31" s="34" t="n">
        <f aca="false">E31*100/(Assumptions!$B$7*Assumptions!$B$6)</f>
        <v>33.2708176052568</v>
      </c>
      <c r="J31" s="34" t="n">
        <f aca="false">F31*100/(Assumptions!$B$7*Assumptions!$B$6)</f>
        <v>48.1264569990343</v>
      </c>
      <c r="K31" s="34" t="n">
        <f aca="false">(Scenarios!$B$5+Scenarios!C$12*($A31&gt;=Assumptions!$B$14))*(1+Scenarios!C$13)^MAX(0,YEAR($A31)-Assumptions!$B$18+(MONTH($A31)&gt;=4))</f>
        <v>52.95</v>
      </c>
      <c r="L31" s="34" t="n">
        <f aca="false">(Scenarios!$B$5+Scenarios!D$12*($A31&gt;=Assumptions!$B$14))*(1+Scenarios!D$13)^MAX(0,YEAR($A31)-Assumptions!$B$18+(MONTH($A31)&gt;=4))</f>
        <v>59.427725</v>
      </c>
      <c r="M31" s="34" t="n">
        <f aca="false">(Scenarios!$B$5+Scenarios!E$12*($A31&gt;=Assumptions!$B$14))*(1+Scenarios!E$13)^MAX(0,YEAR($A31)-Assumptions!$B$18+(MONTH($A31)&gt;=4))</f>
        <v>59.427725</v>
      </c>
      <c r="N31" s="34" t="n">
        <f aca="false">$G31+H31</f>
        <v>69.4802645316962</v>
      </c>
      <c r="O31" s="34" t="n">
        <f aca="false">$G31+I31</f>
        <v>79.6935166149182</v>
      </c>
      <c r="P31" s="34" t="n">
        <f aca="false">$G31+J31</f>
        <v>94.5491560086957</v>
      </c>
    </row>
    <row r="32" customFormat="false" ht="15" hidden="false" customHeight="false" outlineLevel="0" collapsed="false">
      <c r="A32" s="36" t="n">
        <f aca="false">Scenarios!A32</f>
        <v>46631</v>
      </c>
      <c r="B32" s="21" t="n">
        <f aca="false">Scenarios!B32</f>
        <v>1</v>
      </c>
      <c r="C32" s="44" t="n">
        <f aca="false">INDEX(Assumptions!$E$22:$E$32,MATCH(YEAR($A32),Assumptions!$A$22:$A$32,0))</f>
        <v>1.07893764</v>
      </c>
      <c r="D32" s="34" t="n">
        <f aca="false">Assumptions!$B$5+(INDEX(Assumptions!$B$22:$B$32,MATCH(YEAR($A32),Assumptions!$A$22:$A$32,0))*$C32-Assumptions!$B$5)*MIN(1,$B32/Assumptions!$B$11)</f>
        <v>45.31538088</v>
      </c>
      <c r="E32" s="34" t="n">
        <f aca="false">Assumptions!$B$5+(INDEX(Assumptions!$C$22:$C$32,MATCH(YEAR($A32),Assumptions!$A$22:$A$32,0))*$C32-Assumptions!$B$5)*MIN(1,$B32/Assumptions!$B$11)</f>
        <v>69.05200896</v>
      </c>
      <c r="F32" s="34" t="n">
        <f aca="false">Assumptions!$B$5+(INDEX(Assumptions!$D$22:$D$32,MATCH(YEAR($A32),Assumptions!$A$22:$A$32,0))*$C32-Assumptions!$B$5)*MIN(1,$B32/Assumptions!$B$11)</f>
        <v>103.57801344</v>
      </c>
      <c r="G32" s="34" t="n">
        <f aca="false">(Scenarios!$B$7-Scenarios!$B$8)*(1+Assumptions!$B$10)^$B32</f>
        <v>46.4993698713304</v>
      </c>
      <c r="H32" s="34" t="n">
        <f aca="false">D32*100/(Assumptions!$B$7*Assumptions!$B$6)</f>
        <v>21.2705745865451</v>
      </c>
      <c r="I32" s="34" t="n">
        <f aca="false">E32*100/(Assumptions!$B$7*Assumptions!$B$6)</f>
        <v>32.4123041318782</v>
      </c>
      <c r="J32" s="34" t="n">
        <f aca="false">F32*100/(Assumptions!$B$7*Assumptions!$B$6)</f>
        <v>48.6184561978174</v>
      </c>
      <c r="K32" s="34" t="n">
        <f aca="false">(Scenarios!$B$5+Scenarios!C$12*($A32&gt;=Assumptions!$B$14))*(1+Scenarios!C$13)^MAX(0,YEAR($A32)-Assumptions!$B$18+(MONTH($A32)&gt;=4))</f>
        <v>52.95</v>
      </c>
      <c r="L32" s="34" t="n">
        <f aca="false">(Scenarios!$B$5+Scenarios!D$12*($A32&gt;=Assumptions!$B$14))*(1+Scenarios!D$13)^MAX(0,YEAR($A32)-Assumptions!$B$18+(MONTH($A32)&gt;=4))</f>
        <v>59.427725</v>
      </c>
      <c r="M32" s="34" t="n">
        <f aca="false">(Scenarios!$B$5+Scenarios!E$12*($A32&gt;=Assumptions!$B$14))*(1+Scenarios!E$13)^MAX(0,YEAR($A32)-Assumptions!$B$18+(MONTH($A32)&gt;=4))</f>
        <v>59.427725</v>
      </c>
      <c r="N32" s="34" t="n">
        <f aca="false">$G32+H32</f>
        <v>67.7699444578755</v>
      </c>
      <c r="O32" s="34" t="n">
        <f aca="false">$G32+I32</f>
        <v>78.9116740032087</v>
      </c>
      <c r="P32" s="34" t="n">
        <f aca="false">$G32+J32</f>
        <v>95.1178260691478</v>
      </c>
    </row>
    <row r="33" customFormat="false" ht="15" hidden="false" customHeight="false" outlineLevel="0" collapsed="false">
      <c r="A33" s="36" t="n">
        <f aca="false">Scenarios!A33</f>
        <v>46661</v>
      </c>
      <c r="B33" s="21" t="n">
        <f aca="false">Scenarios!B33</f>
        <v>1.08333333333333</v>
      </c>
      <c r="C33" s="44" t="n">
        <f aca="false">INDEX(Assumptions!$E$22:$E$32,MATCH(YEAR($A33),Assumptions!$A$22:$A$32,0))</f>
        <v>1.07893764</v>
      </c>
      <c r="D33" s="34" t="n">
        <f aca="false">Assumptions!$B$5+(INDEX(Assumptions!$B$22:$B$32,MATCH(YEAR($A33),Assumptions!$A$22:$A$32,0))*$C33-Assumptions!$B$5)*MIN(1,$B33/Assumptions!$B$11)</f>
        <v>45.31538088</v>
      </c>
      <c r="E33" s="34" t="n">
        <f aca="false">Assumptions!$B$5+(INDEX(Assumptions!$C$22:$C$32,MATCH(YEAR($A33),Assumptions!$A$22:$A$32,0))*$C33-Assumptions!$B$5)*MIN(1,$B33/Assumptions!$B$11)</f>
        <v>69.05200896</v>
      </c>
      <c r="F33" s="34" t="n">
        <f aca="false">Assumptions!$B$5+(INDEX(Assumptions!$D$22:$D$32,MATCH(YEAR($A33),Assumptions!$A$22:$A$32,0))*$C33-Assumptions!$B$5)*MIN(1,$B33/Assumptions!$B$11)</f>
        <v>103.57801344</v>
      </c>
      <c r="G33" s="34" t="n">
        <f aca="false">(Scenarios!$B$7-Scenarios!$B$8)*(1+Assumptions!$B$10)^$B33</f>
        <v>46.576167361161</v>
      </c>
      <c r="H33" s="34" t="n">
        <f aca="false">D33*100/(Assumptions!$B$7*Assumptions!$B$6)</f>
        <v>21.2705745865451</v>
      </c>
      <c r="I33" s="34" t="n">
        <f aca="false">E33*100/(Assumptions!$B$7*Assumptions!$B$6)</f>
        <v>32.4123041318782</v>
      </c>
      <c r="J33" s="34" t="n">
        <f aca="false">F33*100/(Assumptions!$B$7*Assumptions!$B$6)</f>
        <v>48.6184561978174</v>
      </c>
      <c r="K33" s="34" t="n">
        <f aca="false">(Scenarios!$B$5+Scenarios!C$12*($A33&gt;=Assumptions!$B$14))*(1+Scenarios!C$13)^MAX(0,YEAR($A33)-Assumptions!$B$18+(MONTH($A33)&gt;=4))</f>
        <v>52.95</v>
      </c>
      <c r="L33" s="34" t="n">
        <f aca="false">(Scenarios!$B$5+Scenarios!D$12*($A33&gt;=Assumptions!$B$14))*(1+Scenarios!D$13)^MAX(0,YEAR($A33)-Assumptions!$B$18+(MONTH($A33)&gt;=4))</f>
        <v>59.427725</v>
      </c>
      <c r="M33" s="34" t="n">
        <f aca="false">(Scenarios!$B$5+Scenarios!E$12*($A33&gt;=Assumptions!$B$14))*(1+Scenarios!E$13)^MAX(0,YEAR($A33)-Assumptions!$B$18+(MONTH($A33)&gt;=4))</f>
        <v>59.427725</v>
      </c>
      <c r="N33" s="34" t="n">
        <f aca="false">$G33+H33</f>
        <v>67.8467419477061</v>
      </c>
      <c r="O33" s="34" t="n">
        <f aca="false">$G33+I33</f>
        <v>78.9884714930392</v>
      </c>
      <c r="P33" s="34" t="n">
        <f aca="false">$G33+J33</f>
        <v>95.1946235589783</v>
      </c>
    </row>
    <row r="34" customFormat="false" ht="15" hidden="false" customHeight="false" outlineLevel="0" collapsed="false">
      <c r="A34" s="36" t="n">
        <f aca="false">Scenarios!A34</f>
        <v>46692</v>
      </c>
      <c r="B34" s="21" t="n">
        <f aca="false">Scenarios!B34</f>
        <v>1.16666666666667</v>
      </c>
      <c r="C34" s="44" t="n">
        <f aca="false">INDEX(Assumptions!$E$22:$E$32,MATCH(YEAR($A34),Assumptions!$A$22:$A$32,0))</f>
        <v>1.07893764</v>
      </c>
      <c r="D34" s="34" t="n">
        <f aca="false">Assumptions!$B$5+(INDEX(Assumptions!$B$22:$B$32,MATCH(YEAR($A34),Assumptions!$A$22:$A$32,0))*$C34-Assumptions!$B$5)*MIN(1,$B34/Assumptions!$B$11)</f>
        <v>45.31538088</v>
      </c>
      <c r="E34" s="34" t="n">
        <f aca="false">Assumptions!$B$5+(INDEX(Assumptions!$C$22:$C$32,MATCH(YEAR($A34),Assumptions!$A$22:$A$32,0))*$C34-Assumptions!$B$5)*MIN(1,$B34/Assumptions!$B$11)</f>
        <v>69.05200896</v>
      </c>
      <c r="F34" s="34" t="n">
        <f aca="false">Assumptions!$B$5+(INDEX(Assumptions!$D$22:$D$32,MATCH(YEAR($A34),Assumptions!$A$22:$A$32,0))*$C34-Assumptions!$B$5)*MIN(1,$B34/Assumptions!$B$11)</f>
        <v>103.57801344</v>
      </c>
      <c r="G34" s="34" t="n">
        <f aca="false">(Scenarios!$B$7-Scenarios!$B$8)*(1+Assumptions!$B$10)^$B34</f>
        <v>46.6530916882898</v>
      </c>
      <c r="H34" s="34" t="n">
        <f aca="false">D34*100/(Assumptions!$B$7*Assumptions!$B$6)</f>
        <v>21.2705745865451</v>
      </c>
      <c r="I34" s="34" t="n">
        <f aca="false">E34*100/(Assumptions!$B$7*Assumptions!$B$6)</f>
        <v>32.4123041318782</v>
      </c>
      <c r="J34" s="34" t="n">
        <f aca="false">F34*100/(Assumptions!$B$7*Assumptions!$B$6)</f>
        <v>48.6184561978174</v>
      </c>
      <c r="K34" s="34" t="n">
        <f aca="false">(Scenarios!$B$5+Scenarios!C$12*($A34&gt;=Assumptions!$B$14))*(1+Scenarios!C$13)^MAX(0,YEAR($A34)-Assumptions!$B$18+(MONTH($A34)&gt;=4))</f>
        <v>52.95</v>
      </c>
      <c r="L34" s="34" t="n">
        <f aca="false">(Scenarios!$B$5+Scenarios!D$12*($A34&gt;=Assumptions!$B$14))*(1+Scenarios!D$13)^MAX(0,YEAR($A34)-Assumptions!$B$18+(MONTH($A34)&gt;=4))</f>
        <v>59.427725</v>
      </c>
      <c r="M34" s="34" t="n">
        <f aca="false">(Scenarios!$B$5+Scenarios!E$12*($A34&gt;=Assumptions!$B$14))*(1+Scenarios!E$13)^MAX(0,YEAR($A34)-Assumptions!$B$18+(MONTH($A34)&gt;=4))</f>
        <v>59.427725</v>
      </c>
      <c r="N34" s="34" t="n">
        <f aca="false">$G34+H34</f>
        <v>67.9236662748349</v>
      </c>
      <c r="O34" s="34" t="n">
        <f aca="false">$G34+I34</f>
        <v>79.065395820168</v>
      </c>
      <c r="P34" s="34" t="n">
        <f aca="false">$G34+J34</f>
        <v>95.2715478861071</v>
      </c>
    </row>
    <row r="35" customFormat="false" ht="15" hidden="false" customHeight="false" outlineLevel="0" collapsed="false">
      <c r="A35" s="36" t="n">
        <f aca="false">Scenarios!A35</f>
        <v>46722</v>
      </c>
      <c r="B35" s="21" t="n">
        <f aca="false">Scenarios!B35</f>
        <v>1.25</v>
      </c>
      <c r="C35" s="44" t="n">
        <f aca="false">INDEX(Assumptions!$E$22:$E$32,MATCH(YEAR($A35),Assumptions!$A$22:$A$32,0))</f>
        <v>1.07893764</v>
      </c>
      <c r="D35" s="34" t="n">
        <f aca="false">Assumptions!$B$5+(INDEX(Assumptions!$B$22:$B$32,MATCH(YEAR($A35),Assumptions!$A$22:$A$32,0))*$C35-Assumptions!$B$5)*MIN(1,$B35/Assumptions!$B$11)</f>
        <v>45.31538088</v>
      </c>
      <c r="E35" s="34" t="n">
        <f aca="false">Assumptions!$B$5+(INDEX(Assumptions!$C$22:$C$32,MATCH(YEAR($A35),Assumptions!$A$22:$A$32,0))*$C35-Assumptions!$B$5)*MIN(1,$B35/Assumptions!$B$11)</f>
        <v>69.05200896</v>
      </c>
      <c r="F35" s="34" t="n">
        <f aca="false">Assumptions!$B$5+(INDEX(Assumptions!$D$22:$D$32,MATCH(YEAR($A35),Assumptions!$A$22:$A$32,0))*$C35-Assumptions!$B$5)*MIN(1,$B35/Assumptions!$B$11)</f>
        <v>103.57801344</v>
      </c>
      <c r="G35" s="34" t="n">
        <f aca="false">(Scenarios!$B$7-Scenarios!$B$8)*(1+Assumptions!$B$10)^$B35</f>
        <v>46.7301430621989</v>
      </c>
      <c r="H35" s="34" t="n">
        <f aca="false">D35*100/(Assumptions!$B$7*Assumptions!$B$6)</f>
        <v>21.2705745865451</v>
      </c>
      <c r="I35" s="34" t="n">
        <f aca="false">E35*100/(Assumptions!$B$7*Assumptions!$B$6)</f>
        <v>32.4123041318782</v>
      </c>
      <c r="J35" s="34" t="n">
        <f aca="false">F35*100/(Assumptions!$B$7*Assumptions!$B$6)</f>
        <v>48.6184561978174</v>
      </c>
      <c r="K35" s="34" t="n">
        <f aca="false">(Scenarios!$B$5+Scenarios!C$12*($A35&gt;=Assumptions!$B$14))*(1+Scenarios!C$13)^MAX(0,YEAR($A35)-Assumptions!$B$18+(MONTH($A35)&gt;=4))</f>
        <v>52.95</v>
      </c>
      <c r="L35" s="34" t="n">
        <f aca="false">(Scenarios!$B$5+Scenarios!D$12*($A35&gt;=Assumptions!$B$14))*(1+Scenarios!D$13)^MAX(0,YEAR($A35)-Assumptions!$B$18+(MONTH($A35)&gt;=4))</f>
        <v>59.427725</v>
      </c>
      <c r="M35" s="34" t="n">
        <f aca="false">(Scenarios!$B$5+Scenarios!E$12*($A35&gt;=Assumptions!$B$14))*(1+Scenarios!E$13)^MAX(0,YEAR($A35)-Assumptions!$B$18+(MONTH($A35)&gt;=4))</f>
        <v>59.427725</v>
      </c>
      <c r="N35" s="34" t="n">
        <f aca="false">$G35+H35</f>
        <v>68.000717648744</v>
      </c>
      <c r="O35" s="34" t="n">
        <f aca="false">$G35+I35</f>
        <v>79.1424471940772</v>
      </c>
      <c r="P35" s="34" t="n">
        <f aca="false">$G35+J35</f>
        <v>95.3485992600163</v>
      </c>
    </row>
    <row r="36" customFormat="false" ht="15" hidden="false" customHeight="false" outlineLevel="0" collapsed="false">
      <c r="A36" s="36" t="n">
        <f aca="false">Scenarios!A36</f>
        <v>46753</v>
      </c>
      <c r="B36" s="21" t="n">
        <f aca="false">Scenarios!B36</f>
        <v>1.33333333333333</v>
      </c>
      <c r="C36" s="44" t="n">
        <f aca="false">INDEX(Assumptions!$E$22:$E$32,MATCH(YEAR($A36),Assumptions!$A$22:$A$32,0))</f>
        <v>1.1005163928</v>
      </c>
      <c r="D36" s="34" t="n">
        <f aca="false">Assumptions!$B$5+(INDEX(Assumptions!$B$22:$B$32,MATCH(YEAR($A36),Assumptions!$A$22:$A$32,0))*$C36-Assumptions!$B$5)*MIN(1,$B36/Assumptions!$B$11)</f>
        <v>47.3222048904</v>
      </c>
      <c r="E36" s="34" t="n">
        <f aca="false">Assumptions!$B$5+(INDEX(Assumptions!$C$22:$C$32,MATCH(YEAR($A36),Assumptions!$A$22:$A$32,0))*$C36-Assumptions!$B$5)*MIN(1,$B36/Assumptions!$B$11)</f>
        <v>71.533565532</v>
      </c>
      <c r="F36" s="34" t="n">
        <f aca="false">Assumptions!$B$5+(INDEX(Assumptions!$D$22:$D$32,MATCH(YEAR($A36),Assumptions!$A$22:$A$32,0))*$C36-Assumptions!$B$5)*MIN(1,$B36/Assumptions!$B$11)</f>
        <v>107.8506064944</v>
      </c>
      <c r="G36" s="34" t="n">
        <f aca="false">(Scenarios!$B$7-Scenarios!$B$8)*(1+Assumptions!$B$10)^$B36</f>
        <v>46.8073216927165</v>
      </c>
      <c r="H36" s="34" t="n">
        <f aca="false">D36*100/(Assumptions!$B$7*Assumptions!$B$6)</f>
        <v>22.2125571753778</v>
      </c>
      <c r="I36" s="34" t="n">
        <f aca="false">E36*100/(Assumptions!$B$7*Assumptions!$B$6)</f>
        <v>33.5771213116176</v>
      </c>
      <c r="J36" s="34" t="n">
        <f aca="false">F36*100/(Assumptions!$B$7*Assumptions!$B$6)</f>
        <v>50.6239675159773</v>
      </c>
      <c r="K36" s="34" t="n">
        <f aca="false">(Scenarios!$B$5+Scenarios!C$12*($A36&gt;=Assumptions!$B$14))*(1+Scenarios!C$13)^MAX(0,YEAR($A36)-Assumptions!$B$18+(MONTH($A36)&gt;=4))</f>
        <v>52.95</v>
      </c>
      <c r="L36" s="34" t="n">
        <f aca="false">(Scenarios!$B$5+Scenarios!D$12*($A36&gt;=Assumptions!$B$14))*(1+Scenarios!D$13)^MAX(0,YEAR($A36)-Assumptions!$B$18+(MONTH($A36)&gt;=4))</f>
        <v>59.427725</v>
      </c>
      <c r="M36" s="34" t="n">
        <f aca="false">(Scenarios!$B$5+Scenarios!E$12*($A36&gt;=Assumptions!$B$14))*(1+Scenarios!E$13)^MAX(0,YEAR($A36)-Assumptions!$B$18+(MONTH($A36)&gt;=4))</f>
        <v>59.427725</v>
      </c>
      <c r="N36" s="34" t="n">
        <f aca="false">$G36+H36</f>
        <v>69.0198788680943</v>
      </c>
      <c r="O36" s="34" t="n">
        <f aca="false">$G36+I36</f>
        <v>80.3844430043341</v>
      </c>
      <c r="P36" s="34" t="n">
        <f aca="false">$G36+J36</f>
        <v>97.4312892086938</v>
      </c>
    </row>
    <row r="37" customFormat="false" ht="15" hidden="false" customHeight="false" outlineLevel="0" collapsed="false">
      <c r="A37" s="36" t="n">
        <f aca="false">Scenarios!A37</f>
        <v>46784</v>
      </c>
      <c r="B37" s="21" t="n">
        <f aca="false">Scenarios!B37</f>
        <v>1.41666666666667</v>
      </c>
      <c r="C37" s="44" t="n">
        <f aca="false">INDEX(Assumptions!$E$22:$E$32,MATCH(YEAR($A37),Assumptions!$A$22:$A$32,0))</f>
        <v>1.1005163928</v>
      </c>
      <c r="D37" s="34" t="n">
        <f aca="false">Assumptions!$B$5+(INDEX(Assumptions!$B$22:$B$32,MATCH(YEAR($A37),Assumptions!$A$22:$A$32,0))*$C37-Assumptions!$B$5)*MIN(1,$B37/Assumptions!$B$11)</f>
        <v>47.3222048904</v>
      </c>
      <c r="E37" s="34" t="n">
        <f aca="false">Assumptions!$B$5+(INDEX(Assumptions!$C$22:$C$32,MATCH(YEAR($A37),Assumptions!$A$22:$A$32,0))*$C37-Assumptions!$B$5)*MIN(1,$B37/Assumptions!$B$11)</f>
        <v>71.533565532</v>
      </c>
      <c r="F37" s="34" t="n">
        <f aca="false">Assumptions!$B$5+(INDEX(Assumptions!$D$22:$D$32,MATCH(YEAR($A37),Assumptions!$A$22:$A$32,0))*$C37-Assumptions!$B$5)*MIN(1,$B37/Assumptions!$B$11)</f>
        <v>107.8506064944</v>
      </c>
      <c r="G37" s="34" t="n">
        <f aca="false">(Scenarios!$B$7-Scenarios!$B$8)*(1+Assumptions!$B$10)^$B37</f>
        <v>46.8846277900172</v>
      </c>
      <c r="H37" s="34" t="n">
        <f aca="false">D37*100/(Assumptions!$B$7*Assumptions!$B$6)</f>
        <v>22.2125571753778</v>
      </c>
      <c r="I37" s="34" t="n">
        <f aca="false">E37*100/(Assumptions!$B$7*Assumptions!$B$6)</f>
        <v>33.5771213116176</v>
      </c>
      <c r="J37" s="34" t="n">
        <f aca="false">F37*100/(Assumptions!$B$7*Assumptions!$B$6)</f>
        <v>50.6239675159773</v>
      </c>
      <c r="K37" s="34" t="n">
        <f aca="false">(Scenarios!$B$5+Scenarios!C$12*($A37&gt;=Assumptions!$B$14))*(1+Scenarios!C$13)^MAX(0,YEAR($A37)-Assumptions!$B$18+(MONTH($A37)&gt;=4))</f>
        <v>52.95</v>
      </c>
      <c r="L37" s="34" t="n">
        <f aca="false">(Scenarios!$B$5+Scenarios!D$12*($A37&gt;=Assumptions!$B$14))*(1+Scenarios!D$13)^MAX(0,YEAR($A37)-Assumptions!$B$18+(MONTH($A37)&gt;=4))</f>
        <v>59.427725</v>
      </c>
      <c r="M37" s="34" t="n">
        <f aca="false">(Scenarios!$B$5+Scenarios!E$12*($A37&gt;=Assumptions!$B$14))*(1+Scenarios!E$13)^MAX(0,YEAR($A37)-Assumptions!$B$18+(MONTH($A37)&gt;=4))</f>
        <v>59.427725</v>
      </c>
      <c r="N37" s="34" t="n">
        <f aca="false">$G37+H37</f>
        <v>69.097184965395</v>
      </c>
      <c r="O37" s="34" t="n">
        <f aca="false">$G37+I37</f>
        <v>80.4617491016348</v>
      </c>
      <c r="P37" s="34" t="n">
        <f aca="false">$G37+J37</f>
        <v>97.5085953059945</v>
      </c>
    </row>
    <row r="38" customFormat="false" ht="15" hidden="false" customHeight="false" outlineLevel="0" collapsed="false">
      <c r="A38" s="36" t="n">
        <f aca="false">Scenarios!A38</f>
        <v>46813</v>
      </c>
      <c r="B38" s="21" t="n">
        <f aca="false">Scenarios!B38</f>
        <v>1.5</v>
      </c>
      <c r="C38" s="44" t="n">
        <f aca="false">INDEX(Assumptions!$E$22:$E$32,MATCH(YEAR($A38),Assumptions!$A$22:$A$32,0))</f>
        <v>1.1005163928</v>
      </c>
      <c r="D38" s="34" t="n">
        <f aca="false">Assumptions!$B$5+(INDEX(Assumptions!$B$22:$B$32,MATCH(YEAR($A38),Assumptions!$A$22:$A$32,0))*$C38-Assumptions!$B$5)*MIN(1,$B38/Assumptions!$B$11)</f>
        <v>47.3222048904</v>
      </c>
      <c r="E38" s="34" t="n">
        <f aca="false">Assumptions!$B$5+(INDEX(Assumptions!$C$22:$C$32,MATCH(YEAR($A38),Assumptions!$A$22:$A$32,0))*$C38-Assumptions!$B$5)*MIN(1,$B38/Assumptions!$B$11)</f>
        <v>71.533565532</v>
      </c>
      <c r="F38" s="34" t="n">
        <f aca="false">Assumptions!$B$5+(INDEX(Assumptions!$D$22:$D$32,MATCH(YEAR($A38),Assumptions!$A$22:$A$32,0))*$C38-Assumptions!$B$5)*MIN(1,$B38/Assumptions!$B$11)</f>
        <v>107.8506064944</v>
      </c>
      <c r="G38" s="34" t="n">
        <f aca="false">(Scenarios!$B$7-Scenarios!$B$8)*(1+Assumptions!$B$10)^$B38</f>
        <v>46.9620615646226</v>
      </c>
      <c r="H38" s="34" t="n">
        <f aca="false">D38*100/(Assumptions!$B$7*Assumptions!$B$6)</f>
        <v>22.2125571753778</v>
      </c>
      <c r="I38" s="34" t="n">
        <f aca="false">E38*100/(Assumptions!$B$7*Assumptions!$B$6)</f>
        <v>33.5771213116176</v>
      </c>
      <c r="J38" s="34" t="n">
        <f aca="false">F38*100/(Assumptions!$B$7*Assumptions!$B$6)</f>
        <v>50.6239675159773</v>
      </c>
      <c r="K38" s="34" t="n">
        <f aca="false">(Scenarios!$B$5+Scenarios!C$12*($A38&gt;=Assumptions!$B$14))*(1+Scenarios!C$13)^MAX(0,YEAR($A38)-Assumptions!$B$18+(MONTH($A38)&gt;=4))</f>
        <v>52.95</v>
      </c>
      <c r="L38" s="34" t="n">
        <f aca="false">(Scenarios!$B$5+Scenarios!D$12*($A38&gt;=Assumptions!$B$14))*(1+Scenarios!D$13)^MAX(0,YEAR($A38)-Assumptions!$B$18+(MONTH($A38)&gt;=4))</f>
        <v>59.427725</v>
      </c>
      <c r="M38" s="34" t="n">
        <f aca="false">(Scenarios!$B$5+Scenarios!E$12*($A38&gt;=Assumptions!$B$14))*(1+Scenarios!E$13)^MAX(0,YEAR($A38)-Assumptions!$B$18+(MONTH($A38)&gt;=4))</f>
        <v>59.427725</v>
      </c>
      <c r="N38" s="34" t="n">
        <f aca="false">$G38+H38</f>
        <v>69.1746187400004</v>
      </c>
      <c r="O38" s="34" t="n">
        <f aca="false">$G38+I38</f>
        <v>80.5391828762402</v>
      </c>
      <c r="P38" s="34" t="n">
        <f aca="false">$G38+J38</f>
        <v>97.5860290806</v>
      </c>
    </row>
    <row r="39" customFormat="false" ht="15" hidden="false" customHeight="false" outlineLevel="0" collapsed="false">
      <c r="A39" s="36" t="n">
        <f aca="false">Scenarios!A39</f>
        <v>46844</v>
      </c>
      <c r="B39" s="21" t="n">
        <f aca="false">Scenarios!B39</f>
        <v>1.58333333333333</v>
      </c>
      <c r="C39" s="44" t="n">
        <f aca="false">INDEX(Assumptions!$E$22:$E$32,MATCH(YEAR($A39),Assumptions!$A$22:$A$32,0))</f>
        <v>1.1005163928</v>
      </c>
      <c r="D39" s="34" t="n">
        <f aca="false">Assumptions!$B$5+(INDEX(Assumptions!$B$22:$B$32,MATCH(YEAR($A39),Assumptions!$A$22:$A$32,0))*$C39-Assumptions!$B$5)*MIN(1,$B39/Assumptions!$B$11)</f>
        <v>47.3222048904</v>
      </c>
      <c r="E39" s="34" t="n">
        <f aca="false">Assumptions!$B$5+(INDEX(Assumptions!$C$22:$C$32,MATCH(YEAR($A39),Assumptions!$A$22:$A$32,0))*$C39-Assumptions!$B$5)*MIN(1,$B39/Assumptions!$B$11)</f>
        <v>71.533565532</v>
      </c>
      <c r="F39" s="34" t="n">
        <f aca="false">Assumptions!$B$5+(INDEX(Assumptions!$D$22:$D$32,MATCH(YEAR($A39),Assumptions!$A$22:$A$32,0))*$C39-Assumptions!$B$5)*MIN(1,$B39/Assumptions!$B$11)</f>
        <v>107.8506064944</v>
      </c>
      <c r="G39" s="34" t="n">
        <f aca="false">(Scenarios!$B$7-Scenarios!$B$8)*(1+Assumptions!$B$10)^$B39</f>
        <v>47.0396232274024</v>
      </c>
      <c r="H39" s="34" t="n">
        <f aca="false">D39*100/(Assumptions!$B$7*Assumptions!$B$6)</f>
        <v>22.2125571753778</v>
      </c>
      <c r="I39" s="34" t="n">
        <f aca="false">E39*100/(Assumptions!$B$7*Assumptions!$B$6)</f>
        <v>33.5771213116176</v>
      </c>
      <c r="J39" s="34" t="n">
        <f aca="false">F39*100/(Assumptions!$B$7*Assumptions!$B$6)</f>
        <v>50.6239675159773</v>
      </c>
      <c r="K39" s="34" t="n">
        <f aca="false">(Scenarios!$B$5+Scenarios!C$12*($A39&gt;=Assumptions!$B$14))*(1+Scenarios!C$13)^MAX(0,YEAR($A39)-Assumptions!$B$18+(MONTH($A39)&gt;=4))</f>
        <v>52.95</v>
      </c>
      <c r="L39" s="34" t="n">
        <f aca="false">(Scenarios!$B$5+Scenarios!D$12*($A39&gt;=Assumptions!$B$14))*(1+Scenarios!D$13)^MAX(0,YEAR($A39)-Assumptions!$B$18+(MONTH($A39)&gt;=4))</f>
        <v>60.9431319875</v>
      </c>
      <c r="M39" s="34" t="n">
        <f aca="false">(Scenarios!$B$5+Scenarios!E$12*($A39&gt;=Assumptions!$B$14))*(1+Scenarios!E$13)^MAX(0,YEAR($A39)-Assumptions!$B$18+(MONTH($A39)&gt;=4))</f>
        <v>60.9431319875</v>
      </c>
      <c r="N39" s="34" t="n">
        <f aca="false">$G39+H39</f>
        <v>69.2521804027802</v>
      </c>
      <c r="O39" s="34" t="n">
        <f aca="false">$G39+I39</f>
        <v>80.61674453902</v>
      </c>
      <c r="P39" s="34" t="n">
        <f aca="false">$G39+J39</f>
        <v>97.6635907433797</v>
      </c>
    </row>
    <row r="40" customFormat="false" ht="15" hidden="false" customHeight="false" outlineLevel="0" collapsed="false">
      <c r="A40" s="36" t="n">
        <f aca="false">Scenarios!A40</f>
        <v>46874</v>
      </c>
      <c r="B40" s="21" t="n">
        <f aca="false">Scenarios!B40</f>
        <v>1.66666666666667</v>
      </c>
      <c r="C40" s="44" t="n">
        <f aca="false">INDEX(Assumptions!$E$22:$E$32,MATCH(YEAR($A40),Assumptions!$A$22:$A$32,0))</f>
        <v>1.1005163928</v>
      </c>
      <c r="D40" s="34" t="n">
        <f aca="false">Assumptions!$B$5+(INDEX(Assumptions!$B$22:$B$32,MATCH(YEAR($A40),Assumptions!$A$22:$A$32,0))*$C40-Assumptions!$B$5)*MIN(1,$B40/Assumptions!$B$11)</f>
        <v>47.3222048904</v>
      </c>
      <c r="E40" s="34" t="n">
        <f aca="false">Assumptions!$B$5+(INDEX(Assumptions!$C$22:$C$32,MATCH(YEAR($A40),Assumptions!$A$22:$A$32,0))*$C40-Assumptions!$B$5)*MIN(1,$B40/Assumptions!$B$11)</f>
        <v>71.533565532</v>
      </c>
      <c r="F40" s="34" t="n">
        <f aca="false">Assumptions!$B$5+(INDEX(Assumptions!$D$22:$D$32,MATCH(YEAR($A40),Assumptions!$A$22:$A$32,0))*$C40-Assumptions!$B$5)*MIN(1,$B40/Assumptions!$B$11)</f>
        <v>107.8506064944</v>
      </c>
      <c r="G40" s="34" t="n">
        <f aca="false">(Scenarios!$B$7-Scenarios!$B$8)*(1+Assumptions!$B$10)^$B40</f>
        <v>47.1173129895741</v>
      </c>
      <c r="H40" s="34" t="n">
        <f aca="false">D40*100/(Assumptions!$B$7*Assumptions!$B$6)</f>
        <v>22.2125571753778</v>
      </c>
      <c r="I40" s="34" t="n">
        <f aca="false">E40*100/(Assumptions!$B$7*Assumptions!$B$6)</f>
        <v>33.5771213116176</v>
      </c>
      <c r="J40" s="34" t="n">
        <f aca="false">F40*100/(Assumptions!$B$7*Assumptions!$B$6)</f>
        <v>50.6239675159773</v>
      </c>
      <c r="K40" s="34" t="n">
        <f aca="false">(Scenarios!$B$5+Scenarios!C$12*($A40&gt;=Assumptions!$B$14))*(1+Scenarios!C$13)^MAX(0,YEAR($A40)-Assumptions!$B$18+(MONTH($A40)&gt;=4))</f>
        <v>52.95</v>
      </c>
      <c r="L40" s="34" t="n">
        <f aca="false">(Scenarios!$B$5+Scenarios!D$12*($A40&gt;=Assumptions!$B$14))*(1+Scenarios!D$13)^MAX(0,YEAR($A40)-Assumptions!$B$18+(MONTH($A40)&gt;=4))</f>
        <v>60.9431319875</v>
      </c>
      <c r="M40" s="34" t="n">
        <f aca="false">(Scenarios!$B$5+Scenarios!E$12*($A40&gt;=Assumptions!$B$14))*(1+Scenarios!E$13)^MAX(0,YEAR($A40)-Assumptions!$B$18+(MONTH($A40)&gt;=4))</f>
        <v>60.9431319875</v>
      </c>
      <c r="N40" s="34" t="n">
        <f aca="false">$G40+H40</f>
        <v>69.3298701649519</v>
      </c>
      <c r="O40" s="34" t="n">
        <f aca="false">$G40+I40</f>
        <v>80.6944343011917</v>
      </c>
      <c r="P40" s="34" t="n">
        <f aca="false">$G40+J40</f>
        <v>97.7412805055515</v>
      </c>
    </row>
    <row r="41" customFormat="false" ht="15" hidden="false" customHeight="false" outlineLevel="0" collapsed="false">
      <c r="A41" s="36" t="n">
        <f aca="false">Scenarios!A41</f>
        <v>46905</v>
      </c>
      <c r="B41" s="21" t="n">
        <f aca="false">Scenarios!B41</f>
        <v>1.75</v>
      </c>
      <c r="C41" s="44" t="n">
        <f aca="false">INDEX(Assumptions!$E$22:$E$32,MATCH(YEAR($A41),Assumptions!$A$22:$A$32,0))</f>
        <v>1.1005163928</v>
      </c>
      <c r="D41" s="34" t="n">
        <f aca="false">Assumptions!$B$5+(INDEX(Assumptions!$B$22:$B$32,MATCH(YEAR($A41),Assumptions!$A$22:$A$32,0))*$C41-Assumptions!$B$5)*MIN(1,$B41/Assumptions!$B$11)</f>
        <v>47.3222048904</v>
      </c>
      <c r="E41" s="34" t="n">
        <f aca="false">Assumptions!$B$5+(INDEX(Assumptions!$C$22:$C$32,MATCH(YEAR($A41),Assumptions!$A$22:$A$32,0))*$C41-Assumptions!$B$5)*MIN(1,$B41/Assumptions!$B$11)</f>
        <v>71.533565532</v>
      </c>
      <c r="F41" s="34" t="n">
        <f aca="false">Assumptions!$B$5+(INDEX(Assumptions!$D$22:$D$32,MATCH(YEAR($A41),Assumptions!$A$22:$A$32,0))*$C41-Assumptions!$B$5)*MIN(1,$B41/Assumptions!$B$11)</f>
        <v>107.8506064944</v>
      </c>
      <c r="G41" s="34" t="n">
        <f aca="false">(Scenarios!$B$7-Scenarios!$B$8)*(1+Assumptions!$B$10)^$B41</f>
        <v>47.1951310627044</v>
      </c>
      <c r="H41" s="34" t="n">
        <f aca="false">D41*100/(Assumptions!$B$7*Assumptions!$B$6)</f>
        <v>22.2125571753778</v>
      </c>
      <c r="I41" s="34" t="n">
        <f aca="false">E41*100/(Assumptions!$B$7*Assumptions!$B$6)</f>
        <v>33.5771213116176</v>
      </c>
      <c r="J41" s="34" t="n">
        <f aca="false">F41*100/(Assumptions!$B$7*Assumptions!$B$6)</f>
        <v>50.6239675159773</v>
      </c>
      <c r="K41" s="34" t="n">
        <f aca="false">(Scenarios!$B$5+Scenarios!C$12*($A41&gt;=Assumptions!$B$14))*(1+Scenarios!C$13)^MAX(0,YEAR($A41)-Assumptions!$B$18+(MONTH($A41)&gt;=4))</f>
        <v>52.95</v>
      </c>
      <c r="L41" s="34" t="n">
        <f aca="false">(Scenarios!$B$5+Scenarios!D$12*($A41&gt;=Assumptions!$B$14))*(1+Scenarios!D$13)^MAX(0,YEAR($A41)-Assumptions!$B$18+(MONTH($A41)&gt;=4))</f>
        <v>60.9431319875</v>
      </c>
      <c r="M41" s="34" t="n">
        <f aca="false">(Scenarios!$B$5+Scenarios!E$12*($A41&gt;=Assumptions!$B$14))*(1+Scenarios!E$13)^MAX(0,YEAR($A41)-Assumptions!$B$18+(MONTH($A41)&gt;=4))</f>
        <v>60.9431319875</v>
      </c>
      <c r="N41" s="34" t="n">
        <f aca="false">$G41+H41</f>
        <v>69.4076882380822</v>
      </c>
      <c r="O41" s="34" t="n">
        <f aca="false">$G41+I41</f>
        <v>80.772252374322</v>
      </c>
      <c r="P41" s="34" t="n">
        <f aca="false">$G41+J41</f>
        <v>97.8190985786818</v>
      </c>
    </row>
    <row r="42" customFormat="false" ht="15" hidden="false" customHeight="false" outlineLevel="0" collapsed="false">
      <c r="A42" s="36" t="n">
        <f aca="false">Scenarios!A42</f>
        <v>46935</v>
      </c>
      <c r="B42" s="21" t="n">
        <f aca="false">Scenarios!B42</f>
        <v>1.83333333333333</v>
      </c>
      <c r="C42" s="44" t="n">
        <f aca="false">INDEX(Assumptions!$E$22:$E$32,MATCH(YEAR($A42),Assumptions!$A$22:$A$32,0))</f>
        <v>1.1005163928</v>
      </c>
      <c r="D42" s="34" t="n">
        <f aca="false">Assumptions!$B$5+(INDEX(Assumptions!$B$22:$B$32,MATCH(YEAR($A42),Assumptions!$A$22:$A$32,0))*$C42-Assumptions!$B$5)*MIN(1,$B42/Assumptions!$B$11)</f>
        <v>47.3222048904</v>
      </c>
      <c r="E42" s="34" t="n">
        <f aca="false">Assumptions!$B$5+(INDEX(Assumptions!$C$22:$C$32,MATCH(YEAR($A42),Assumptions!$A$22:$A$32,0))*$C42-Assumptions!$B$5)*MIN(1,$B42/Assumptions!$B$11)</f>
        <v>71.533565532</v>
      </c>
      <c r="F42" s="34" t="n">
        <f aca="false">Assumptions!$B$5+(INDEX(Assumptions!$D$22:$D$32,MATCH(YEAR($A42),Assumptions!$A$22:$A$32,0))*$C42-Assumptions!$B$5)*MIN(1,$B42/Assumptions!$B$11)</f>
        <v>107.8506064944</v>
      </c>
      <c r="G42" s="34" t="n">
        <f aca="false">(Scenarios!$B$7-Scenarios!$B$8)*(1+Assumptions!$B$10)^$B42</f>
        <v>47.2730776587093</v>
      </c>
      <c r="H42" s="34" t="n">
        <f aca="false">D42*100/(Assumptions!$B$7*Assumptions!$B$6)</f>
        <v>22.2125571753778</v>
      </c>
      <c r="I42" s="34" t="n">
        <f aca="false">E42*100/(Assumptions!$B$7*Assumptions!$B$6)</f>
        <v>33.5771213116176</v>
      </c>
      <c r="J42" s="34" t="n">
        <f aca="false">F42*100/(Assumptions!$B$7*Assumptions!$B$6)</f>
        <v>50.6239675159773</v>
      </c>
      <c r="K42" s="34" t="n">
        <f aca="false">(Scenarios!$B$5+Scenarios!C$12*($A42&gt;=Assumptions!$B$14))*(1+Scenarios!C$13)^MAX(0,YEAR($A42)-Assumptions!$B$18+(MONTH($A42)&gt;=4))</f>
        <v>52.95</v>
      </c>
      <c r="L42" s="34" t="n">
        <f aca="false">(Scenarios!$B$5+Scenarios!D$12*($A42&gt;=Assumptions!$B$14))*(1+Scenarios!D$13)^MAX(0,YEAR($A42)-Assumptions!$B$18+(MONTH($A42)&gt;=4))</f>
        <v>60.9431319875</v>
      </c>
      <c r="M42" s="34" t="n">
        <f aca="false">(Scenarios!$B$5+Scenarios!E$12*($A42&gt;=Assumptions!$B$14))*(1+Scenarios!E$13)^MAX(0,YEAR($A42)-Assumptions!$B$18+(MONTH($A42)&gt;=4))</f>
        <v>60.9431319875</v>
      </c>
      <c r="N42" s="34" t="n">
        <f aca="false">$G42+H42</f>
        <v>69.4856348340871</v>
      </c>
      <c r="O42" s="34" t="n">
        <f aca="false">$G42+I42</f>
        <v>80.8501989703269</v>
      </c>
      <c r="P42" s="34" t="n">
        <f aca="false">$G42+J42</f>
        <v>97.8970451746866</v>
      </c>
    </row>
    <row r="43" customFormat="false" ht="15" hidden="false" customHeight="false" outlineLevel="0" collapsed="false">
      <c r="A43" s="36" t="n">
        <f aca="false">Scenarios!A43</f>
        <v>46966</v>
      </c>
      <c r="B43" s="21" t="n">
        <f aca="false">Scenarios!B43</f>
        <v>1.91666666666667</v>
      </c>
      <c r="C43" s="44" t="n">
        <f aca="false">INDEX(Assumptions!$E$22:$E$32,MATCH(YEAR($A43),Assumptions!$A$22:$A$32,0))</f>
        <v>1.1005163928</v>
      </c>
      <c r="D43" s="34" t="n">
        <f aca="false">Assumptions!$B$5+(INDEX(Assumptions!$B$22:$B$32,MATCH(YEAR($A43),Assumptions!$A$22:$A$32,0))*$C43-Assumptions!$B$5)*MIN(1,$B43/Assumptions!$B$11)</f>
        <v>47.3222048904</v>
      </c>
      <c r="E43" s="34" t="n">
        <f aca="false">Assumptions!$B$5+(INDEX(Assumptions!$C$22:$C$32,MATCH(YEAR($A43),Assumptions!$A$22:$A$32,0))*$C43-Assumptions!$B$5)*MIN(1,$B43/Assumptions!$B$11)</f>
        <v>71.533565532</v>
      </c>
      <c r="F43" s="34" t="n">
        <f aca="false">Assumptions!$B$5+(INDEX(Assumptions!$D$22:$D$32,MATCH(YEAR($A43),Assumptions!$A$22:$A$32,0))*$C43-Assumptions!$B$5)*MIN(1,$B43/Assumptions!$B$11)</f>
        <v>107.8506064944</v>
      </c>
      <c r="G43" s="34" t="n">
        <f aca="false">(Scenarios!$B$7-Scenarios!$B$8)*(1+Assumptions!$B$10)^$B43</f>
        <v>47.3511529898546</v>
      </c>
      <c r="H43" s="34" t="n">
        <f aca="false">D43*100/(Assumptions!$B$7*Assumptions!$B$6)</f>
        <v>22.2125571753778</v>
      </c>
      <c r="I43" s="34" t="n">
        <f aca="false">E43*100/(Assumptions!$B$7*Assumptions!$B$6)</f>
        <v>33.5771213116176</v>
      </c>
      <c r="J43" s="34" t="n">
        <f aca="false">F43*100/(Assumptions!$B$7*Assumptions!$B$6)</f>
        <v>50.6239675159773</v>
      </c>
      <c r="K43" s="34" t="n">
        <f aca="false">(Scenarios!$B$5+Scenarios!C$12*($A43&gt;=Assumptions!$B$14))*(1+Scenarios!C$13)^MAX(0,YEAR($A43)-Assumptions!$B$18+(MONTH($A43)&gt;=4))</f>
        <v>52.95</v>
      </c>
      <c r="L43" s="34" t="n">
        <f aca="false">(Scenarios!$B$5+Scenarios!D$12*($A43&gt;=Assumptions!$B$14))*(1+Scenarios!D$13)^MAX(0,YEAR($A43)-Assumptions!$B$18+(MONTH($A43)&gt;=4))</f>
        <v>60.9431319875</v>
      </c>
      <c r="M43" s="34" t="n">
        <f aca="false">(Scenarios!$B$5+Scenarios!E$12*($A43&gt;=Assumptions!$B$14))*(1+Scenarios!E$13)^MAX(0,YEAR($A43)-Assumptions!$B$18+(MONTH($A43)&gt;=4))</f>
        <v>60.9431319875</v>
      </c>
      <c r="N43" s="34" t="n">
        <f aca="false">$G43+H43</f>
        <v>69.5637101652324</v>
      </c>
      <c r="O43" s="34" t="n">
        <f aca="false">$G43+I43</f>
        <v>80.9282743014722</v>
      </c>
      <c r="P43" s="34" t="n">
        <f aca="false">$G43+J43</f>
        <v>97.9751205058319</v>
      </c>
    </row>
    <row r="44" customFormat="false" ht="15" hidden="false" customHeight="false" outlineLevel="0" collapsed="false">
      <c r="A44" s="36" t="n">
        <f aca="false">Scenarios!A44</f>
        <v>46997</v>
      </c>
      <c r="B44" s="21" t="n">
        <f aca="false">Scenarios!B44</f>
        <v>2</v>
      </c>
      <c r="C44" s="44" t="n">
        <f aca="false">INDEX(Assumptions!$E$22:$E$32,MATCH(YEAR($A44),Assumptions!$A$22:$A$32,0))</f>
        <v>1.1005163928</v>
      </c>
      <c r="D44" s="34" t="n">
        <f aca="false">Assumptions!$B$5+(INDEX(Assumptions!$B$22:$B$32,MATCH(YEAR($A44),Assumptions!$A$22:$A$32,0))*$C44-Assumptions!$B$5)*MIN(1,$B44/Assumptions!$B$11)</f>
        <v>47.3222048904</v>
      </c>
      <c r="E44" s="34" t="n">
        <f aca="false">Assumptions!$B$5+(INDEX(Assumptions!$C$22:$C$32,MATCH(YEAR($A44),Assumptions!$A$22:$A$32,0))*$C44-Assumptions!$B$5)*MIN(1,$B44/Assumptions!$B$11)</f>
        <v>71.533565532</v>
      </c>
      <c r="F44" s="34" t="n">
        <f aca="false">Assumptions!$B$5+(INDEX(Assumptions!$D$22:$D$32,MATCH(YEAR($A44),Assumptions!$A$22:$A$32,0))*$C44-Assumptions!$B$5)*MIN(1,$B44/Assumptions!$B$11)</f>
        <v>107.8506064944</v>
      </c>
      <c r="G44" s="34" t="n">
        <f aca="false">(Scenarios!$B$7-Scenarios!$B$8)*(1+Assumptions!$B$10)^$B44</f>
        <v>47.429357268757</v>
      </c>
      <c r="H44" s="34" t="n">
        <f aca="false">D44*100/(Assumptions!$B$7*Assumptions!$B$6)</f>
        <v>22.2125571753778</v>
      </c>
      <c r="I44" s="34" t="n">
        <f aca="false">E44*100/(Assumptions!$B$7*Assumptions!$B$6)</f>
        <v>33.5771213116176</v>
      </c>
      <c r="J44" s="34" t="n">
        <f aca="false">F44*100/(Assumptions!$B$7*Assumptions!$B$6)</f>
        <v>50.6239675159773</v>
      </c>
      <c r="K44" s="34" t="n">
        <f aca="false">(Scenarios!$B$5+Scenarios!C$12*($A44&gt;=Assumptions!$B$14))*(1+Scenarios!C$13)^MAX(0,YEAR($A44)-Assumptions!$B$18+(MONTH($A44)&gt;=4))</f>
        <v>52.95</v>
      </c>
      <c r="L44" s="34" t="n">
        <f aca="false">(Scenarios!$B$5+Scenarios!D$12*($A44&gt;=Assumptions!$B$14))*(1+Scenarios!D$13)^MAX(0,YEAR($A44)-Assumptions!$B$18+(MONTH($A44)&gt;=4))</f>
        <v>60.9431319875</v>
      </c>
      <c r="M44" s="34" t="n">
        <f aca="false">(Scenarios!$B$5+Scenarios!E$12*($A44&gt;=Assumptions!$B$14))*(1+Scenarios!E$13)^MAX(0,YEAR($A44)-Assumptions!$B$18+(MONTH($A44)&gt;=4))</f>
        <v>60.9431319875</v>
      </c>
      <c r="N44" s="34" t="n">
        <f aca="false">$G44+H44</f>
        <v>69.6419144441348</v>
      </c>
      <c r="O44" s="34" t="n">
        <f aca="false">$G44+I44</f>
        <v>81.0064785803746</v>
      </c>
      <c r="P44" s="34" t="n">
        <f aca="false">$G44+J44</f>
        <v>98.0533247847343</v>
      </c>
    </row>
    <row r="45" customFormat="false" ht="15" hidden="false" customHeight="false" outlineLevel="0" collapsed="false">
      <c r="A45" s="36" t="n">
        <f aca="false">Scenarios!A45</f>
        <v>47027</v>
      </c>
      <c r="B45" s="21" t="n">
        <f aca="false">Scenarios!B45</f>
        <v>2.08333333333333</v>
      </c>
      <c r="C45" s="44" t="n">
        <f aca="false">INDEX(Assumptions!$E$22:$E$32,MATCH(YEAR($A45),Assumptions!$A$22:$A$32,0))</f>
        <v>1.1005163928</v>
      </c>
      <c r="D45" s="34" t="n">
        <f aca="false">Assumptions!$B$5+(INDEX(Assumptions!$B$22:$B$32,MATCH(YEAR($A45),Assumptions!$A$22:$A$32,0))*$C45-Assumptions!$B$5)*MIN(1,$B45/Assumptions!$B$11)</f>
        <v>47.3222048904</v>
      </c>
      <c r="E45" s="34" t="n">
        <f aca="false">Assumptions!$B$5+(INDEX(Assumptions!$C$22:$C$32,MATCH(YEAR($A45),Assumptions!$A$22:$A$32,0))*$C45-Assumptions!$B$5)*MIN(1,$B45/Assumptions!$B$11)</f>
        <v>71.533565532</v>
      </c>
      <c r="F45" s="34" t="n">
        <f aca="false">Assumptions!$B$5+(INDEX(Assumptions!$D$22:$D$32,MATCH(YEAR($A45),Assumptions!$A$22:$A$32,0))*$C45-Assumptions!$B$5)*MIN(1,$B45/Assumptions!$B$11)</f>
        <v>107.8506064944</v>
      </c>
      <c r="G45" s="34" t="n">
        <f aca="false">(Scenarios!$B$7-Scenarios!$B$8)*(1+Assumptions!$B$10)^$B45</f>
        <v>47.5076907083842</v>
      </c>
      <c r="H45" s="34" t="n">
        <f aca="false">D45*100/(Assumptions!$B$7*Assumptions!$B$6)</f>
        <v>22.2125571753778</v>
      </c>
      <c r="I45" s="34" t="n">
        <f aca="false">E45*100/(Assumptions!$B$7*Assumptions!$B$6)</f>
        <v>33.5771213116176</v>
      </c>
      <c r="J45" s="34" t="n">
        <f aca="false">F45*100/(Assumptions!$B$7*Assumptions!$B$6)</f>
        <v>50.6239675159773</v>
      </c>
      <c r="K45" s="34" t="n">
        <f aca="false">(Scenarios!$B$5+Scenarios!C$12*($A45&gt;=Assumptions!$B$14))*(1+Scenarios!C$13)^MAX(0,YEAR($A45)-Assumptions!$B$18+(MONTH($A45)&gt;=4))</f>
        <v>52.95</v>
      </c>
      <c r="L45" s="34" t="n">
        <f aca="false">(Scenarios!$B$5+Scenarios!D$12*($A45&gt;=Assumptions!$B$14))*(1+Scenarios!D$13)^MAX(0,YEAR($A45)-Assumptions!$B$18+(MONTH($A45)&gt;=4))</f>
        <v>60.9431319875</v>
      </c>
      <c r="M45" s="34" t="n">
        <f aca="false">(Scenarios!$B$5+Scenarios!E$12*($A45&gt;=Assumptions!$B$14))*(1+Scenarios!E$13)^MAX(0,YEAR($A45)-Assumptions!$B$18+(MONTH($A45)&gt;=4))</f>
        <v>60.9431319875</v>
      </c>
      <c r="N45" s="34" t="n">
        <f aca="false">$G45+H45</f>
        <v>69.720247883762</v>
      </c>
      <c r="O45" s="34" t="n">
        <f aca="false">$G45+I45</f>
        <v>81.0848120200018</v>
      </c>
      <c r="P45" s="34" t="n">
        <f aca="false">$G45+J45</f>
        <v>98.1316582243615</v>
      </c>
    </row>
    <row r="46" customFormat="false" ht="15" hidden="false" customHeight="false" outlineLevel="0" collapsed="false">
      <c r="A46" s="36" t="n">
        <f aca="false">Scenarios!A46</f>
        <v>47058</v>
      </c>
      <c r="B46" s="21" t="n">
        <f aca="false">Scenarios!B46</f>
        <v>2.16666666666667</v>
      </c>
      <c r="C46" s="44" t="n">
        <f aca="false">INDEX(Assumptions!$E$22:$E$32,MATCH(YEAR($A46),Assumptions!$A$22:$A$32,0))</f>
        <v>1.1005163928</v>
      </c>
      <c r="D46" s="34" t="n">
        <f aca="false">Assumptions!$B$5+(INDEX(Assumptions!$B$22:$B$32,MATCH(YEAR($A46),Assumptions!$A$22:$A$32,0))*$C46-Assumptions!$B$5)*MIN(1,$B46/Assumptions!$B$11)</f>
        <v>47.3222048904</v>
      </c>
      <c r="E46" s="34" t="n">
        <f aca="false">Assumptions!$B$5+(INDEX(Assumptions!$C$22:$C$32,MATCH(YEAR($A46),Assumptions!$A$22:$A$32,0))*$C46-Assumptions!$B$5)*MIN(1,$B46/Assumptions!$B$11)</f>
        <v>71.533565532</v>
      </c>
      <c r="F46" s="34" t="n">
        <f aca="false">Assumptions!$B$5+(INDEX(Assumptions!$D$22:$D$32,MATCH(YEAR($A46),Assumptions!$A$22:$A$32,0))*$C46-Assumptions!$B$5)*MIN(1,$B46/Assumptions!$B$11)</f>
        <v>107.8506064944</v>
      </c>
      <c r="G46" s="34" t="n">
        <f aca="false">(Scenarios!$B$7-Scenarios!$B$8)*(1+Assumptions!$B$10)^$B46</f>
        <v>47.5861535220556</v>
      </c>
      <c r="H46" s="34" t="n">
        <f aca="false">D46*100/(Assumptions!$B$7*Assumptions!$B$6)</f>
        <v>22.2125571753778</v>
      </c>
      <c r="I46" s="34" t="n">
        <f aca="false">E46*100/(Assumptions!$B$7*Assumptions!$B$6)</f>
        <v>33.5771213116176</v>
      </c>
      <c r="J46" s="34" t="n">
        <f aca="false">F46*100/(Assumptions!$B$7*Assumptions!$B$6)</f>
        <v>50.6239675159773</v>
      </c>
      <c r="K46" s="34" t="n">
        <f aca="false">(Scenarios!$B$5+Scenarios!C$12*($A46&gt;=Assumptions!$B$14))*(1+Scenarios!C$13)^MAX(0,YEAR($A46)-Assumptions!$B$18+(MONTH($A46)&gt;=4))</f>
        <v>52.95</v>
      </c>
      <c r="L46" s="34" t="n">
        <f aca="false">(Scenarios!$B$5+Scenarios!D$12*($A46&gt;=Assumptions!$B$14))*(1+Scenarios!D$13)^MAX(0,YEAR($A46)-Assumptions!$B$18+(MONTH($A46)&gt;=4))</f>
        <v>60.9431319875</v>
      </c>
      <c r="M46" s="34" t="n">
        <f aca="false">(Scenarios!$B$5+Scenarios!E$12*($A46&gt;=Assumptions!$B$14))*(1+Scenarios!E$13)^MAX(0,YEAR($A46)-Assumptions!$B$18+(MONTH($A46)&gt;=4))</f>
        <v>60.9431319875</v>
      </c>
      <c r="N46" s="34" t="n">
        <f aca="false">$G46+H46</f>
        <v>69.7987106974334</v>
      </c>
      <c r="O46" s="34" t="n">
        <f aca="false">$G46+I46</f>
        <v>81.1632748336732</v>
      </c>
      <c r="P46" s="34" t="n">
        <f aca="false">$G46+J46</f>
        <v>98.2101210380329</v>
      </c>
    </row>
    <row r="47" customFormat="false" ht="15" hidden="false" customHeight="false" outlineLevel="0" collapsed="false">
      <c r="A47" s="36" t="n">
        <f aca="false">Scenarios!A47</f>
        <v>47088</v>
      </c>
      <c r="B47" s="21" t="n">
        <f aca="false">Scenarios!B47</f>
        <v>2.25</v>
      </c>
      <c r="C47" s="44" t="n">
        <f aca="false">INDEX(Assumptions!$E$22:$E$32,MATCH(YEAR($A47),Assumptions!$A$22:$A$32,0))</f>
        <v>1.1005163928</v>
      </c>
      <c r="D47" s="34" t="n">
        <f aca="false">Assumptions!$B$5+(INDEX(Assumptions!$B$22:$B$32,MATCH(YEAR($A47),Assumptions!$A$22:$A$32,0))*$C47-Assumptions!$B$5)*MIN(1,$B47/Assumptions!$B$11)</f>
        <v>47.3222048904</v>
      </c>
      <c r="E47" s="34" t="n">
        <f aca="false">Assumptions!$B$5+(INDEX(Assumptions!$C$22:$C$32,MATCH(YEAR($A47),Assumptions!$A$22:$A$32,0))*$C47-Assumptions!$B$5)*MIN(1,$B47/Assumptions!$B$11)</f>
        <v>71.533565532</v>
      </c>
      <c r="F47" s="34" t="n">
        <f aca="false">Assumptions!$B$5+(INDEX(Assumptions!$D$22:$D$32,MATCH(YEAR($A47),Assumptions!$A$22:$A$32,0))*$C47-Assumptions!$B$5)*MIN(1,$B47/Assumptions!$B$11)</f>
        <v>107.8506064944</v>
      </c>
      <c r="G47" s="34" t="n">
        <f aca="false">(Scenarios!$B$7-Scenarios!$B$8)*(1+Assumptions!$B$10)^$B47</f>
        <v>47.6647459234429</v>
      </c>
      <c r="H47" s="34" t="n">
        <f aca="false">D47*100/(Assumptions!$B$7*Assumptions!$B$6)</f>
        <v>22.2125571753778</v>
      </c>
      <c r="I47" s="34" t="n">
        <f aca="false">E47*100/(Assumptions!$B$7*Assumptions!$B$6)</f>
        <v>33.5771213116176</v>
      </c>
      <c r="J47" s="34" t="n">
        <f aca="false">F47*100/(Assumptions!$B$7*Assumptions!$B$6)</f>
        <v>50.6239675159773</v>
      </c>
      <c r="K47" s="34" t="n">
        <f aca="false">(Scenarios!$B$5+Scenarios!C$12*($A47&gt;=Assumptions!$B$14))*(1+Scenarios!C$13)^MAX(0,YEAR($A47)-Assumptions!$B$18+(MONTH($A47)&gt;=4))</f>
        <v>52.95</v>
      </c>
      <c r="L47" s="34" t="n">
        <f aca="false">(Scenarios!$B$5+Scenarios!D$12*($A47&gt;=Assumptions!$B$14))*(1+Scenarios!D$13)^MAX(0,YEAR($A47)-Assumptions!$B$18+(MONTH($A47)&gt;=4))</f>
        <v>60.9431319875</v>
      </c>
      <c r="M47" s="34" t="n">
        <f aca="false">(Scenarios!$B$5+Scenarios!E$12*($A47&gt;=Assumptions!$B$14))*(1+Scenarios!E$13)^MAX(0,YEAR($A47)-Assumptions!$B$18+(MONTH($A47)&gt;=4))</f>
        <v>60.9431319875</v>
      </c>
      <c r="N47" s="34" t="n">
        <f aca="false">$G47+H47</f>
        <v>69.8773030988207</v>
      </c>
      <c r="O47" s="34" t="n">
        <f aca="false">$G47+I47</f>
        <v>81.2418672350605</v>
      </c>
      <c r="P47" s="34" t="n">
        <f aca="false">$G47+J47</f>
        <v>98.2887134394202</v>
      </c>
    </row>
    <row r="48" customFormat="false" ht="15" hidden="false" customHeight="false" outlineLevel="0" collapsed="false">
      <c r="A48" s="36" t="n">
        <f aca="false">Scenarios!A48</f>
        <v>47119</v>
      </c>
      <c r="B48" s="21" t="n">
        <f aca="false">Scenarios!B48</f>
        <v>2.33333333333333</v>
      </c>
      <c r="C48" s="44" t="n">
        <f aca="false">INDEX(Assumptions!$E$22:$E$32,MATCH(YEAR($A48),Assumptions!$A$22:$A$32,0))</f>
        <v>1.122526720656</v>
      </c>
      <c r="D48" s="34" t="n">
        <f aca="false">Assumptions!$B$5+(INDEX(Assumptions!$B$22:$B$32,MATCH(YEAR($A48),Assumptions!$A$22:$A$32,0))*$C48-Assumptions!$B$5)*MIN(1,$B48/Assumptions!$B$11)</f>
        <v>49.391175708864</v>
      </c>
      <c r="E48" s="34" t="n">
        <f aca="false">Assumptions!$B$5+(INDEX(Assumptions!$C$22:$C$32,MATCH(YEAR($A48),Assumptions!$A$22:$A$32,0))*$C48-Assumptions!$B$5)*MIN(1,$B48/Assumptions!$B$11)</f>
        <v>75.209290283952</v>
      </c>
      <c r="F48" s="34" t="n">
        <f aca="false">Assumptions!$B$5+(INDEX(Assumptions!$D$22:$D$32,MATCH(YEAR($A48),Assumptions!$A$22:$A$32,0))*$C48-Assumptions!$B$5)*MIN(1,$B48/Assumptions!$B$11)</f>
        <v>112.2526720656</v>
      </c>
      <c r="G48" s="34" t="n">
        <f aca="false">(Scenarios!$B$7-Scenarios!$B$8)*(1+Assumptions!$B$10)^$B48</f>
        <v>47.7434681265708</v>
      </c>
      <c r="H48" s="34" t="n">
        <f aca="false">D48*100/(Assumptions!$B$7*Assumptions!$B$6)</f>
        <v>23.1837108379292</v>
      </c>
      <c r="I48" s="34" t="n">
        <f aca="false">E48*100/(Assumptions!$B$7*Assumptions!$B$6)</f>
        <v>35.3024687759377</v>
      </c>
      <c r="J48" s="34" t="n">
        <f aca="false">F48*100/(Assumptions!$B$7*Assumptions!$B$6)</f>
        <v>52.6902519043846</v>
      </c>
      <c r="K48" s="34" t="n">
        <f aca="false">(Scenarios!$B$5+Scenarios!C$12*($A48&gt;=Assumptions!$B$14))*(1+Scenarios!C$13)^MAX(0,YEAR($A48)-Assumptions!$B$18+(MONTH($A48)&gt;=4))</f>
        <v>52.95</v>
      </c>
      <c r="L48" s="34" t="n">
        <f aca="false">(Scenarios!$B$5+Scenarios!D$12*($A48&gt;=Assumptions!$B$14))*(1+Scenarios!D$13)^MAX(0,YEAR($A48)-Assumptions!$B$18+(MONTH($A48)&gt;=4))</f>
        <v>60.9431319875</v>
      </c>
      <c r="M48" s="34" t="n">
        <f aca="false">(Scenarios!$B$5+Scenarios!E$12*($A48&gt;=Assumptions!$B$14))*(1+Scenarios!E$13)^MAX(0,YEAR($A48)-Assumptions!$B$18+(MONTH($A48)&gt;=4))</f>
        <v>60.9431319875</v>
      </c>
      <c r="N48" s="34" t="n">
        <f aca="false">$G48+H48</f>
        <v>70.9271789645</v>
      </c>
      <c r="O48" s="34" t="n">
        <f aca="false">$G48+I48</f>
        <v>83.0459369025085</v>
      </c>
      <c r="P48" s="34" t="n">
        <f aca="false">$G48+J48</f>
        <v>100.433720030955</v>
      </c>
    </row>
    <row r="49" customFormat="false" ht="15" hidden="false" customHeight="false" outlineLevel="0" collapsed="false">
      <c r="A49" s="36" t="n">
        <f aca="false">Scenarios!A49</f>
        <v>47150</v>
      </c>
      <c r="B49" s="21" t="n">
        <f aca="false">Scenarios!B49</f>
        <v>2.41666666666667</v>
      </c>
      <c r="C49" s="44" t="n">
        <f aca="false">INDEX(Assumptions!$E$22:$E$32,MATCH(YEAR($A49),Assumptions!$A$22:$A$32,0))</f>
        <v>1.122526720656</v>
      </c>
      <c r="D49" s="34" t="n">
        <f aca="false">Assumptions!$B$5+(INDEX(Assumptions!$B$22:$B$32,MATCH(YEAR($A49),Assumptions!$A$22:$A$32,0))*$C49-Assumptions!$B$5)*MIN(1,$B49/Assumptions!$B$11)</f>
        <v>49.391175708864</v>
      </c>
      <c r="E49" s="34" t="n">
        <f aca="false">Assumptions!$B$5+(INDEX(Assumptions!$C$22:$C$32,MATCH(YEAR($A49),Assumptions!$A$22:$A$32,0))*$C49-Assumptions!$B$5)*MIN(1,$B49/Assumptions!$B$11)</f>
        <v>75.209290283952</v>
      </c>
      <c r="F49" s="34" t="n">
        <f aca="false">Assumptions!$B$5+(INDEX(Assumptions!$D$22:$D$32,MATCH(YEAR($A49),Assumptions!$A$22:$A$32,0))*$C49-Assumptions!$B$5)*MIN(1,$B49/Assumptions!$B$11)</f>
        <v>112.2526720656</v>
      </c>
      <c r="G49" s="34" t="n">
        <f aca="false">(Scenarios!$B$7-Scenarios!$B$8)*(1+Assumptions!$B$10)^$B49</f>
        <v>47.8223203458175</v>
      </c>
      <c r="H49" s="34" t="n">
        <f aca="false">D49*100/(Assumptions!$B$7*Assumptions!$B$6)</f>
        <v>23.1837108379292</v>
      </c>
      <c r="I49" s="34" t="n">
        <f aca="false">E49*100/(Assumptions!$B$7*Assumptions!$B$6)</f>
        <v>35.3024687759377</v>
      </c>
      <c r="J49" s="34" t="n">
        <f aca="false">F49*100/(Assumptions!$B$7*Assumptions!$B$6)</f>
        <v>52.6902519043846</v>
      </c>
      <c r="K49" s="34" t="n">
        <f aca="false">(Scenarios!$B$5+Scenarios!C$12*($A49&gt;=Assumptions!$B$14))*(1+Scenarios!C$13)^MAX(0,YEAR($A49)-Assumptions!$B$18+(MONTH($A49)&gt;=4))</f>
        <v>52.95</v>
      </c>
      <c r="L49" s="34" t="n">
        <f aca="false">(Scenarios!$B$5+Scenarios!D$12*($A49&gt;=Assumptions!$B$14))*(1+Scenarios!D$13)^MAX(0,YEAR($A49)-Assumptions!$B$18+(MONTH($A49)&gt;=4))</f>
        <v>60.9431319875</v>
      </c>
      <c r="M49" s="34" t="n">
        <f aca="false">(Scenarios!$B$5+Scenarios!E$12*($A49&gt;=Assumptions!$B$14))*(1+Scenarios!E$13)^MAX(0,YEAR($A49)-Assumptions!$B$18+(MONTH($A49)&gt;=4))</f>
        <v>60.9431319875</v>
      </c>
      <c r="N49" s="34" t="n">
        <f aca="false">$G49+H49</f>
        <v>71.0060311837467</v>
      </c>
      <c r="O49" s="34" t="n">
        <f aca="false">$G49+I49</f>
        <v>83.1247891217552</v>
      </c>
      <c r="P49" s="34" t="n">
        <f aca="false">$G49+J49</f>
        <v>100.512572250202</v>
      </c>
    </row>
    <row r="50" customFormat="false" ht="15" hidden="false" customHeight="false" outlineLevel="0" collapsed="false">
      <c r="A50" s="36" t="n">
        <f aca="false">Scenarios!A50</f>
        <v>47178</v>
      </c>
      <c r="B50" s="21" t="n">
        <f aca="false">Scenarios!B50</f>
        <v>2.5</v>
      </c>
      <c r="C50" s="44" t="n">
        <f aca="false">INDEX(Assumptions!$E$22:$E$32,MATCH(YEAR($A50),Assumptions!$A$22:$A$32,0))</f>
        <v>1.122526720656</v>
      </c>
      <c r="D50" s="34" t="n">
        <f aca="false">Assumptions!$B$5+(INDEX(Assumptions!$B$22:$B$32,MATCH(YEAR($A50),Assumptions!$A$22:$A$32,0))*$C50-Assumptions!$B$5)*MIN(1,$B50/Assumptions!$B$11)</f>
        <v>49.391175708864</v>
      </c>
      <c r="E50" s="34" t="n">
        <f aca="false">Assumptions!$B$5+(INDEX(Assumptions!$C$22:$C$32,MATCH(YEAR($A50),Assumptions!$A$22:$A$32,0))*$C50-Assumptions!$B$5)*MIN(1,$B50/Assumptions!$B$11)</f>
        <v>75.209290283952</v>
      </c>
      <c r="F50" s="34" t="n">
        <f aca="false">Assumptions!$B$5+(INDEX(Assumptions!$D$22:$D$32,MATCH(YEAR($A50),Assumptions!$A$22:$A$32,0))*$C50-Assumptions!$B$5)*MIN(1,$B50/Assumptions!$B$11)</f>
        <v>112.2526720656</v>
      </c>
      <c r="G50" s="34" t="n">
        <f aca="false">(Scenarios!$B$7-Scenarios!$B$8)*(1+Assumptions!$B$10)^$B50</f>
        <v>47.9013027959151</v>
      </c>
      <c r="H50" s="34" t="n">
        <f aca="false">D50*100/(Assumptions!$B$7*Assumptions!$B$6)</f>
        <v>23.1837108379292</v>
      </c>
      <c r="I50" s="34" t="n">
        <f aca="false">E50*100/(Assumptions!$B$7*Assumptions!$B$6)</f>
        <v>35.3024687759377</v>
      </c>
      <c r="J50" s="34" t="n">
        <f aca="false">F50*100/(Assumptions!$B$7*Assumptions!$B$6)</f>
        <v>52.6902519043846</v>
      </c>
      <c r="K50" s="34" t="n">
        <f aca="false">(Scenarios!$B$5+Scenarios!C$12*($A50&gt;=Assumptions!$B$14))*(1+Scenarios!C$13)^MAX(0,YEAR($A50)-Assumptions!$B$18+(MONTH($A50)&gt;=4))</f>
        <v>52.95</v>
      </c>
      <c r="L50" s="34" t="n">
        <f aca="false">(Scenarios!$B$5+Scenarios!D$12*($A50&gt;=Assumptions!$B$14))*(1+Scenarios!D$13)^MAX(0,YEAR($A50)-Assumptions!$B$18+(MONTH($A50)&gt;=4))</f>
        <v>60.9431319875</v>
      </c>
      <c r="M50" s="34" t="n">
        <f aca="false">(Scenarios!$B$5+Scenarios!E$12*($A50&gt;=Assumptions!$B$14))*(1+Scenarios!E$13)^MAX(0,YEAR($A50)-Assumptions!$B$18+(MONTH($A50)&gt;=4))</f>
        <v>60.9431319875</v>
      </c>
      <c r="N50" s="34" t="n">
        <f aca="false">$G50+H50</f>
        <v>71.0850136338443</v>
      </c>
      <c r="O50" s="34" t="n">
        <f aca="false">$G50+I50</f>
        <v>83.2037715718527</v>
      </c>
      <c r="P50" s="34" t="n">
        <f aca="false">$G50+J50</f>
        <v>100.5915547003</v>
      </c>
    </row>
    <row r="51" customFormat="false" ht="15" hidden="false" customHeight="false" outlineLevel="0" collapsed="false">
      <c r="A51" s="36" t="n">
        <f aca="false">Scenarios!A51</f>
        <v>47209</v>
      </c>
      <c r="B51" s="21" t="n">
        <f aca="false">Scenarios!B51</f>
        <v>2.58333333333333</v>
      </c>
      <c r="C51" s="44" t="n">
        <f aca="false">INDEX(Assumptions!$E$22:$E$32,MATCH(YEAR($A51),Assumptions!$A$22:$A$32,0))</f>
        <v>1.122526720656</v>
      </c>
      <c r="D51" s="34" t="n">
        <f aca="false">Assumptions!$B$5+(INDEX(Assumptions!$B$22:$B$32,MATCH(YEAR($A51),Assumptions!$A$22:$A$32,0))*$C51-Assumptions!$B$5)*MIN(1,$B51/Assumptions!$B$11)</f>
        <v>49.391175708864</v>
      </c>
      <c r="E51" s="34" t="n">
        <f aca="false">Assumptions!$B$5+(INDEX(Assumptions!$C$22:$C$32,MATCH(YEAR($A51),Assumptions!$A$22:$A$32,0))*$C51-Assumptions!$B$5)*MIN(1,$B51/Assumptions!$B$11)</f>
        <v>75.209290283952</v>
      </c>
      <c r="F51" s="34" t="n">
        <f aca="false">Assumptions!$B$5+(INDEX(Assumptions!$D$22:$D$32,MATCH(YEAR($A51),Assumptions!$A$22:$A$32,0))*$C51-Assumptions!$B$5)*MIN(1,$B51/Assumptions!$B$11)</f>
        <v>112.2526720656</v>
      </c>
      <c r="G51" s="34" t="n">
        <f aca="false">(Scenarios!$B$7-Scenarios!$B$8)*(1+Assumptions!$B$10)^$B51</f>
        <v>47.9804156919504</v>
      </c>
      <c r="H51" s="34" t="n">
        <f aca="false">D51*100/(Assumptions!$B$7*Assumptions!$B$6)</f>
        <v>23.1837108379292</v>
      </c>
      <c r="I51" s="34" t="n">
        <f aca="false">E51*100/(Assumptions!$B$7*Assumptions!$B$6)</f>
        <v>35.3024687759377</v>
      </c>
      <c r="J51" s="34" t="n">
        <f aca="false">F51*100/(Assumptions!$B$7*Assumptions!$B$6)</f>
        <v>52.6902519043846</v>
      </c>
      <c r="K51" s="34" t="n">
        <f aca="false">(Scenarios!$B$5+Scenarios!C$12*($A51&gt;=Assumptions!$B$14))*(1+Scenarios!C$13)^MAX(0,YEAR($A51)-Assumptions!$B$18+(MONTH($A51)&gt;=4))</f>
        <v>52.95</v>
      </c>
      <c r="L51" s="34" t="n">
        <f aca="false">(Scenarios!$B$5+Scenarios!D$12*($A51&gt;=Assumptions!$B$14))*(1+Scenarios!D$13)^MAX(0,YEAR($A51)-Assumptions!$B$18+(MONTH($A51)&gt;=4))</f>
        <v>62.4971818531813</v>
      </c>
      <c r="M51" s="34" t="n">
        <f aca="false">(Scenarios!$B$5+Scenarios!E$12*($A51&gt;=Assumptions!$B$14))*(1+Scenarios!E$13)^MAX(0,YEAR($A51)-Assumptions!$B$18+(MONTH($A51)&gt;=4))</f>
        <v>62.4971818531813</v>
      </c>
      <c r="N51" s="34" t="n">
        <f aca="false">$G51+H51</f>
        <v>71.1641265298796</v>
      </c>
      <c r="O51" s="34" t="n">
        <f aca="false">$G51+I51</f>
        <v>83.2828844678881</v>
      </c>
      <c r="P51" s="34" t="n">
        <f aca="false">$G51+J51</f>
        <v>100.670667596335</v>
      </c>
    </row>
    <row r="52" customFormat="false" ht="15" hidden="false" customHeight="false" outlineLevel="0" collapsed="false">
      <c r="A52" s="36" t="n">
        <f aca="false">Scenarios!A52</f>
        <v>47239</v>
      </c>
      <c r="B52" s="21" t="n">
        <f aca="false">Scenarios!B52</f>
        <v>2.66666666666667</v>
      </c>
      <c r="C52" s="44" t="n">
        <f aca="false">INDEX(Assumptions!$E$22:$E$32,MATCH(YEAR($A52),Assumptions!$A$22:$A$32,0))</f>
        <v>1.122526720656</v>
      </c>
      <c r="D52" s="34" t="n">
        <f aca="false">Assumptions!$B$5+(INDEX(Assumptions!$B$22:$B$32,MATCH(YEAR($A52),Assumptions!$A$22:$A$32,0))*$C52-Assumptions!$B$5)*MIN(1,$B52/Assumptions!$B$11)</f>
        <v>49.391175708864</v>
      </c>
      <c r="E52" s="34" t="n">
        <f aca="false">Assumptions!$B$5+(INDEX(Assumptions!$C$22:$C$32,MATCH(YEAR($A52),Assumptions!$A$22:$A$32,0))*$C52-Assumptions!$B$5)*MIN(1,$B52/Assumptions!$B$11)</f>
        <v>75.209290283952</v>
      </c>
      <c r="F52" s="34" t="n">
        <f aca="false">Assumptions!$B$5+(INDEX(Assumptions!$D$22:$D$32,MATCH(YEAR($A52),Assumptions!$A$22:$A$32,0))*$C52-Assumptions!$B$5)*MIN(1,$B52/Assumptions!$B$11)</f>
        <v>112.2526720656</v>
      </c>
      <c r="G52" s="34" t="n">
        <f aca="false">(Scenarios!$B$7-Scenarios!$B$8)*(1+Assumptions!$B$10)^$B52</f>
        <v>48.0596592493656</v>
      </c>
      <c r="H52" s="34" t="n">
        <f aca="false">D52*100/(Assumptions!$B$7*Assumptions!$B$6)</f>
        <v>23.1837108379292</v>
      </c>
      <c r="I52" s="34" t="n">
        <f aca="false">E52*100/(Assumptions!$B$7*Assumptions!$B$6)</f>
        <v>35.3024687759377</v>
      </c>
      <c r="J52" s="34" t="n">
        <f aca="false">F52*100/(Assumptions!$B$7*Assumptions!$B$6)</f>
        <v>52.6902519043846</v>
      </c>
      <c r="K52" s="34" t="n">
        <f aca="false">(Scenarios!$B$5+Scenarios!C$12*($A52&gt;=Assumptions!$B$14))*(1+Scenarios!C$13)^MAX(0,YEAR($A52)-Assumptions!$B$18+(MONTH($A52)&gt;=4))</f>
        <v>52.95</v>
      </c>
      <c r="L52" s="34" t="n">
        <f aca="false">(Scenarios!$B$5+Scenarios!D$12*($A52&gt;=Assumptions!$B$14))*(1+Scenarios!D$13)^MAX(0,YEAR($A52)-Assumptions!$B$18+(MONTH($A52)&gt;=4))</f>
        <v>62.4971818531813</v>
      </c>
      <c r="M52" s="34" t="n">
        <f aca="false">(Scenarios!$B$5+Scenarios!E$12*($A52&gt;=Assumptions!$B$14))*(1+Scenarios!E$13)^MAX(0,YEAR($A52)-Assumptions!$B$18+(MONTH($A52)&gt;=4))</f>
        <v>62.4971818531813</v>
      </c>
      <c r="N52" s="34" t="n">
        <f aca="false">$G52+H52</f>
        <v>71.2433700872948</v>
      </c>
      <c r="O52" s="34" t="n">
        <f aca="false">$G52+I52</f>
        <v>83.3621280253033</v>
      </c>
      <c r="P52" s="34" t="n">
        <f aca="false">$G52+J52</f>
        <v>100.74991115375</v>
      </c>
    </row>
    <row r="53" customFormat="false" ht="15" hidden="false" customHeight="false" outlineLevel="0" collapsed="false">
      <c r="A53" s="36" t="n">
        <f aca="false">Scenarios!A53</f>
        <v>47270</v>
      </c>
      <c r="B53" s="21" t="n">
        <f aca="false">Scenarios!B53</f>
        <v>2.75</v>
      </c>
      <c r="C53" s="44" t="n">
        <f aca="false">INDEX(Assumptions!$E$22:$E$32,MATCH(YEAR($A53),Assumptions!$A$22:$A$32,0))</f>
        <v>1.122526720656</v>
      </c>
      <c r="D53" s="34" t="n">
        <f aca="false">Assumptions!$B$5+(INDEX(Assumptions!$B$22:$B$32,MATCH(YEAR($A53),Assumptions!$A$22:$A$32,0))*$C53-Assumptions!$B$5)*MIN(1,$B53/Assumptions!$B$11)</f>
        <v>49.391175708864</v>
      </c>
      <c r="E53" s="34" t="n">
        <f aca="false">Assumptions!$B$5+(INDEX(Assumptions!$C$22:$C$32,MATCH(YEAR($A53),Assumptions!$A$22:$A$32,0))*$C53-Assumptions!$B$5)*MIN(1,$B53/Assumptions!$B$11)</f>
        <v>75.209290283952</v>
      </c>
      <c r="F53" s="34" t="n">
        <f aca="false">Assumptions!$B$5+(INDEX(Assumptions!$D$22:$D$32,MATCH(YEAR($A53),Assumptions!$A$22:$A$32,0))*$C53-Assumptions!$B$5)*MIN(1,$B53/Assumptions!$B$11)</f>
        <v>112.2526720656</v>
      </c>
      <c r="G53" s="34" t="n">
        <f aca="false">(Scenarios!$B$7-Scenarios!$B$8)*(1+Assumptions!$B$10)^$B53</f>
        <v>48.1390336839585</v>
      </c>
      <c r="H53" s="34" t="n">
        <f aca="false">D53*100/(Assumptions!$B$7*Assumptions!$B$6)</f>
        <v>23.1837108379292</v>
      </c>
      <c r="I53" s="34" t="n">
        <f aca="false">E53*100/(Assumptions!$B$7*Assumptions!$B$6)</f>
        <v>35.3024687759377</v>
      </c>
      <c r="J53" s="34" t="n">
        <f aca="false">F53*100/(Assumptions!$B$7*Assumptions!$B$6)</f>
        <v>52.6902519043846</v>
      </c>
      <c r="K53" s="34" t="n">
        <f aca="false">(Scenarios!$B$5+Scenarios!C$12*($A53&gt;=Assumptions!$B$14))*(1+Scenarios!C$13)^MAX(0,YEAR($A53)-Assumptions!$B$18+(MONTH($A53)&gt;=4))</f>
        <v>52.95</v>
      </c>
      <c r="L53" s="34" t="n">
        <f aca="false">(Scenarios!$B$5+Scenarios!D$12*($A53&gt;=Assumptions!$B$14))*(1+Scenarios!D$13)^MAX(0,YEAR($A53)-Assumptions!$B$18+(MONTH($A53)&gt;=4))</f>
        <v>62.4971818531813</v>
      </c>
      <c r="M53" s="34" t="n">
        <f aca="false">(Scenarios!$B$5+Scenarios!E$12*($A53&gt;=Assumptions!$B$14))*(1+Scenarios!E$13)^MAX(0,YEAR($A53)-Assumptions!$B$18+(MONTH($A53)&gt;=4))</f>
        <v>62.4971818531813</v>
      </c>
      <c r="N53" s="34" t="n">
        <f aca="false">$G53+H53</f>
        <v>71.3227445218877</v>
      </c>
      <c r="O53" s="34" t="n">
        <f aca="false">$G53+I53</f>
        <v>83.4415024598962</v>
      </c>
      <c r="P53" s="34" t="n">
        <f aca="false">$G53+J53</f>
        <v>100.829285588343</v>
      </c>
    </row>
    <row r="54" customFormat="false" ht="15" hidden="false" customHeight="false" outlineLevel="0" collapsed="false">
      <c r="A54" s="36" t="n">
        <f aca="false">Scenarios!A54</f>
        <v>47300</v>
      </c>
      <c r="B54" s="21" t="n">
        <f aca="false">Scenarios!B54</f>
        <v>2.83333333333333</v>
      </c>
      <c r="C54" s="44" t="n">
        <f aca="false">INDEX(Assumptions!$E$22:$E$32,MATCH(YEAR($A54),Assumptions!$A$22:$A$32,0))</f>
        <v>1.122526720656</v>
      </c>
      <c r="D54" s="34" t="n">
        <f aca="false">Assumptions!$B$5+(INDEX(Assumptions!$B$22:$B$32,MATCH(YEAR($A54),Assumptions!$A$22:$A$32,0))*$C54-Assumptions!$B$5)*MIN(1,$B54/Assumptions!$B$11)</f>
        <v>49.391175708864</v>
      </c>
      <c r="E54" s="34" t="n">
        <f aca="false">Assumptions!$B$5+(INDEX(Assumptions!$C$22:$C$32,MATCH(YEAR($A54),Assumptions!$A$22:$A$32,0))*$C54-Assumptions!$B$5)*MIN(1,$B54/Assumptions!$B$11)</f>
        <v>75.209290283952</v>
      </c>
      <c r="F54" s="34" t="n">
        <f aca="false">Assumptions!$B$5+(INDEX(Assumptions!$D$22:$D$32,MATCH(YEAR($A54),Assumptions!$A$22:$A$32,0))*$C54-Assumptions!$B$5)*MIN(1,$B54/Assumptions!$B$11)</f>
        <v>112.2526720656</v>
      </c>
      <c r="G54" s="34" t="n">
        <f aca="false">(Scenarios!$B$7-Scenarios!$B$8)*(1+Assumptions!$B$10)^$B54</f>
        <v>48.2185392118835</v>
      </c>
      <c r="H54" s="34" t="n">
        <f aca="false">D54*100/(Assumptions!$B$7*Assumptions!$B$6)</f>
        <v>23.1837108379292</v>
      </c>
      <c r="I54" s="34" t="n">
        <f aca="false">E54*100/(Assumptions!$B$7*Assumptions!$B$6)</f>
        <v>35.3024687759377</v>
      </c>
      <c r="J54" s="34" t="n">
        <f aca="false">F54*100/(Assumptions!$B$7*Assumptions!$B$6)</f>
        <v>52.6902519043846</v>
      </c>
      <c r="K54" s="34" t="n">
        <f aca="false">(Scenarios!$B$5+Scenarios!C$12*($A54&gt;=Assumptions!$B$14))*(1+Scenarios!C$13)^MAX(0,YEAR($A54)-Assumptions!$B$18+(MONTH($A54)&gt;=4))</f>
        <v>52.95</v>
      </c>
      <c r="L54" s="34" t="n">
        <f aca="false">(Scenarios!$B$5+Scenarios!D$12*($A54&gt;=Assumptions!$B$14))*(1+Scenarios!D$13)^MAX(0,YEAR($A54)-Assumptions!$B$18+(MONTH($A54)&gt;=4))</f>
        <v>62.4971818531813</v>
      </c>
      <c r="M54" s="34" t="n">
        <f aca="false">(Scenarios!$B$5+Scenarios!E$12*($A54&gt;=Assumptions!$B$14))*(1+Scenarios!E$13)^MAX(0,YEAR($A54)-Assumptions!$B$18+(MONTH($A54)&gt;=4))</f>
        <v>62.4971818531813</v>
      </c>
      <c r="N54" s="34" t="n">
        <f aca="false">$G54+H54</f>
        <v>71.4022500498127</v>
      </c>
      <c r="O54" s="34" t="n">
        <f aca="false">$G54+I54</f>
        <v>83.5210079878211</v>
      </c>
      <c r="P54" s="34" t="n">
        <f aca="false">$G54+J54</f>
        <v>100.908791116268</v>
      </c>
    </row>
    <row r="55" customFormat="false" ht="15" hidden="false" customHeight="false" outlineLevel="0" collapsed="false">
      <c r="A55" s="36" t="n">
        <f aca="false">Scenarios!A55</f>
        <v>47331</v>
      </c>
      <c r="B55" s="21" t="n">
        <f aca="false">Scenarios!B55</f>
        <v>2.91666666666667</v>
      </c>
      <c r="C55" s="44" t="n">
        <f aca="false">INDEX(Assumptions!$E$22:$E$32,MATCH(YEAR($A55),Assumptions!$A$22:$A$32,0))</f>
        <v>1.122526720656</v>
      </c>
      <c r="D55" s="34" t="n">
        <f aca="false">Assumptions!$B$5+(INDEX(Assumptions!$B$22:$B$32,MATCH(YEAR($A55),Assumptions!$A$22:$A$32,0))*$C55-Assumptions!$B$5)*MIN(1,$B55/Assumptions!$B$11)</f>
        <v>49.391175708864</v>
      </c>
      <c r="E55" s="34" t="n">
        <f aca="false">Assumptions!$B$5+(INDEX(Assumptions!$C$22:$C$32,MATCH(YEAR($A55),Assumptions!$A$22:$A$32,0))*$C55-Assumptions!$B$5)*MIN(1,$B55/Assumptions!$B$11)</f>
        <v>75.209290283952</v>
      </c>
      <c r="F55" s="34" t="n">
        <f aca="false">Assumptions!$B$5+(INDEX(Assumptions!$D$22:$D$32,MATCH(YEAR($A55),Assumptions!$A$22:$A$32,0))*$C55-Assumptions!$B$5)*MIN(1,$B55/Assumptions!$B$11)</f>
        <v>112.2526720656</v>
      </c>
      <c r="G55" s="34" t="n">
        <f aca="false">(Scenarios!$B$7-Scenarios!$B$8)*(1+Assumptions!$B$10)^$B55</f>
        <v>48.2981760496517</v>
      </c>
      <c r="H55" s="34" t="n">
        <f aca="false">D55*100/(Assumptions!$B$7*Assumptions!$B$6)</f>
        <v>23.1837108379292</v>
      </c>
      <c r="I55" s="34" t="n">
        <f aca="false">E55*100/(Assumptions!$B$7*Assumptions!$B$6)</f>
        <v>35.3024687759377</v>
      </c>
      <c r="J55" s="34" t="n">
        <f aca="false">F55*100/(Assumptions!$B$7*Assumptions!$B$6)</f>
        <v>52.6902519043846</v>
      </c>
      <c r="K55" s="34" t="n">
        <f aca="false">(Scenarios!$B$5+Scenarios!C$12*($A55&gt;=Assumptions!$B$14))*(1+Scenarios!C$13)^MAX(0,YEAR($A55)-Assumptions!$B$18+(MONTH($A55)&gt;=4))</f>
        <v>52.95</v>
      </c>
      <c r="L55" s="34" t="n">
        <f aca="false">(Scenarios!$B$5+Scenarios!D$12*($A55&gt;=Assumptions!$B$14))*(1+Scenarios!D$13)^MAX(0,YEAR($A55)-Assumptions!$B$18+(MONTH($A55)&gt;=4))</f>
        <v>62.4971818531813</v>
      </c>
      <c r="M55" s="34" t="n">
        <f aca="false">(Scenarios!$B$5+Scenarios!E$12*($A55&gt;=Assumptions!$B$14))*(1+Scenarios!E$13)^MAX(0,YEAR($A55)-Assumptions!$B$18+(MONTH($A55)&gt;=4))</f>
        <v>62.4971818531813</v>
      </c>
      <c r="N55" s="34" t="n">
        <f aca="false">$G55+H55</f>
        <v>71.4818868875809</v>
      </c>
      <c r="O55" s="34" t="n">
        <f aca="false">$G55+I55</f>
        <v>83.6006448255894</v>
      </c>
      <c r="P55" s="34" t="n">
        <f aca="false">$G55+J55</f>
        <v>100.988427954036</v>
      </c>
    </row>
    <row r="56" customFormat="false" ht="15" hidden="false" customHeight="false" outlineLevel="0" collapsed="false">
      <c r="A56" s="36" t="n">
        <f aca="false">Scenarios!A56</f>
        <v>47362</v>
      </c>
      <c r="B56" s="21" t="n">
        <f aca="false">Scenarios!B56</f>
        <v>3</v>
      </c>
      <c r="C56" s="44" t="n">
        <f aca="false">INDEX(Assumptions!$E$22:$E$32,MATCH(YEAR($A56),Assumptions!$A$22:$A$32,0))</f>
        <v>1.122526720656</v>
      </c>
      <c r="D56" s="34" t="n">
        <f aca="false">Assumptions!$B$5+(INDEX(Assumptions!$B$22:$B$32,MATCH(YEAR($A56),Assumptions!$A$22:$A$32,0))*$C56-Assumptions!$B$5)*MIN(1,$B56/Assumptions!$B$11)</f>
        <v>49.391175708864</v>
      </c>
      <c r="E56" s="34" t="n">
        <f aca="false">Assumptions!$B$5+(INDEX(Assumptions!$C$22:$C$32,MATCH(YEAR($A56),Assumptions!$A$22:$A$32,0))*$C56-Assumptions!$B$5)*MIN(1,$B56/Assumptions!$B$11)</f>
        <v>75.209290283952</v>
      </c>
      <c r="F56" s="34" t="n">
        <f aca="false">Assumptions!$B$5+(INDEX(Assumptions!$D$22:$D$32,MATCH(YEAR($A56),Assumptions!$A$22:$A$32,0))*$C56-Assumptions!$B$5)*MIN(1,$B56/Assumptions!$B$11)</f>
        <v>112.2526720656</v>
      </c>
      <c r="G56" s="34" t="n">
        <f aca="false">(Scenarios!$B$7-Scenarios!$B$8)*(1+Assumptions!$B$10)^$B56</f>
        <v>48.3779444141322</v>
      </c>
      <c r="H56" s="34" t="n">
        <f aca="false">D56*100/(Assumptions!$B$7*Assumptions!$B$6)</f>
        <v>23.1837108379292</v>
      </c>
      <c r="I56" s="34" t="n">
        <f aca="false">E56*100/(Assumptions!$B$7*Assumptions!$B$6)</f>
        <v>35.3024687759377</v>
      </c>
      <c r="J56" s="34" t="n">
        <f aca="false">F56*100/(Assumptions!$B$7*Assumptions!$B$6)</f>
        <v>52.6902519043846</v>
      </c>
      <c r="K56" s="34" t="n">
        <f aca="false">(Scenarios!$B$5+Scenarios!C$12*($A56&gt;=Assumptions!$B$14))*(1+Scenarios!C$13)^MAX(0,YEAR($A56)-Assumptions!$B$18+(MONTH($A56)&gt;=4))</f>
        <v>52.95</v>
      </c>
      <c r="L56" s="34" t="n">
        <f aca="false">(Scenarios!$B$5+Scenarios!D$12*($A56&gt;=Assumptions!$B$14))*(1+Scenarios!D$13)^MAX(0,YEAR($A56)-Assumptions!$B$18+(MONTH($A56)&gt;=4))</f>
        <v>62.4971818531813</v>
      </c>
      <c r="M56" s="34" t="n">
        <f aca="false">(Scenarios!$B$5+Scenarios!E$12*($A56&gt;=Assumptions!$B$14))*(1+Scenarios!E$13)^MAX(0,YEAR($A56)-Assumptions!$B$18+(MONTH($A56)&gt;=4))</f>
        <v>62.4971818531813</v>
      </c>
      <c r="N56" s="34" t="n">
        <f aca="false">$G56+H56</f>
        <v>71.5616552520614</v>
      </c>
      <c r="O56" s="34" t="n">
        <f aca="false">$G56+I56</f>
        <v>83.6804131900698</v>
      </c>
      <c r="P56" s="34" t="n">
        <f aca="false">$G56+J56</f>
        <v>101.068196318517</v>
      </c>
    </row>
    <row r="57" customFormat="false" ht="15" hidden="false" customHeight="false" outlineLevel="0" collapsed="false">
      <c r="A57" s="36" t="n">
        <f aca="false">Scenarios!A57</f>
        <v>47392</v>
      </c>
      <c r="B57" s="21" t="n">
        <f aca="false">Scenarios!B57</f>
        <v>3.08333333333333</v>
      </c>
      <c r="C57" s="44" t="n">
        <f aca="false">INDEX(Assumptions!$E$22:$E$32,MATCH(YEAR($A57),Assumptions!$A$22:$A$32,0))</f>
        <v>1.122526720656</v>
      </c>
      <c r="D57" s="34" t="n">
        <f aca="false">Assumptions!$B$5+(INDEX(Assumptions!$B$22:$B$32,MATCH(YEAR($A57),Assumptions!$A$22:$A$32,0))*$C57-Assumptions!$B$5)*MIN(1,$B57/Assumptions!$B$11)</f>
        <v>49.391175708864</v>
      </c>
      <c r="E57" s="34" t="n">
        <f aca="false">Assumptions!$B$5+(INDEX(Assumptions!$C$22:$C$32,MATCH(YEAR($A57),Assumptions!$A$22:$A$32,0))*$C57-Assumptions!$B$5)*MIN(1,$B57/Assumptions!$B$11)</f>
        <v>75.209290283952</v>
      </c>
      <c r="F57" s="34" t="n">
        <f aca="false">Assumptions!$B$5+(INDEX(Assumptions!$D$22:$D$32,MATCH(YEAR($A57),Assumptions!$A$22:$A$32,0))*$C57-Assumptions!$B$5)*MIN(1,$B57/Assumptions!$B$11)</f>
        <v>112.2526720656</v>
      </c>
      <c r="G57" s="34" t="n">
        <f aca="false">(Scenarios!$B$7-Scenarios!$B$8)*(1+Assumptions!$B$10)^$B57</f>
        <v>48.4578445225519</v>
      </c>
      <c r="H57" s="34" t="n">
        <f aca="false">D57*100/(Assumptions!$B$7*Assumptions!$B$6)</f>
        <v>23.1837108379292</v>
      </c>
      <c r="I57" s="34" t="n">
        <f aca="false">E57*100/(Assumptions!$B$7*Assumptions!$B$6)</f>
        <v>35.3024687759377</v>
      </c>
      <c r="J57" s="34" t="n">
        <f aca="false">F57*100/(Assumptions!$B$7*Assumptions!$B$6)</f>
        <v>52.6902519043846</v>
      </c>
      <c r="K57" s="34" t="n">
        <f aca="false">(Scenarios!$B$5+Scenarios!C$12*($A57&gt;=Assumptions!$B$14))*(1+Scenarios!C$13)^MAX(0,YEAR($A57)-Assumptions!$B$18+(MONTH($A57)&gt;=4))</f>
        <v>52.95</v>
      </c>
      <c r="L57" s="34" t="n">
        <f aca="false">(Scenarios!$B$5+Scenarios!D$12*($A57&gt;=Assumptions!$B$14))*(1+Scenarios!D$13)^MAX(0,YEAR($A57)-Assumptions!$B$18+(MONTH($A57)&gt;=4))</f>
        <v>62.4971818531813</v>
      </c>
      <c r="M57" s="34" t="n">
        <f aca="false">(Scenarios!$B$5+Scenarios!E$12*($A57&gt;=Assumptions!$B$14))*(1+Scenarios!E$13)^MAX(0,YEAR($A57)-Assumptions!$B$18+(MONTH($A57)&gt;=4))</f>
        <v>62.4971818531813</v>
      </c>
      <c r="N57" s="34" t="n">
        <f aca="false">$G57+H57</f>
        <v>71.6415553604811</v>
      </c>
      <c r="O57" s="34" t="n">
        <f aca="false">$G57+I57</f>
        <v>83.7603132984895</v>
      </c>
      <c r="P57" s="34" t="n">
        <f aca="false">$G57+J57</f>
        <v>101.148096426936</v>
      </c>
    </row>
    <row r="58" customFormat="false" ht="15" hidden="false" customHeight="false" outlineLevel="0" collapsed="false">
      <c r="A58" s="36" t="n">
        <f aca="false">Scenarios!A58</f>
        <v>47423</v>
      </c>
      <c r="B58" s="21" t="n">
        <f aca="false">Scenarios!B58</f>
        <v>3.16666666666667</v>
      </c>
      <c r="C58" s="44" t="n">
        <f aca="false">INDEX(Assumptions!$E$22:$E$32,MATCH(YEAR($A58),Assumptions!$A$22:$A$32,0))</f>
        <v>1.122526720656</v>
      </c>
      <c r="D58" s="34" t="n">
        <f aca="false">Assumptions!$B$5+(INDEX(Assumptions!$B$22:$B$32,MATCH(YEAR($A58),Assumptions!$A$22:$A$32,0))*$C58-Assumptions!$B$5)*MIN(1,$B58/Assumptions!$B$11)</f>
        <v>49.391175708864</v>
      </c>
      <c r="E58" s="34" t="n">
        <f aca="false">Assumptions!$B$5+(INDEX(Assumptions!$C$22:$C$32,MATCH(YEAR($A58),Assumptions!$A$22:$A$32,0))*$C58-Assumptions!$B$5)*MIN(1,$B58/Assumptions!$B$11)</f>
        <v>75.209290283952</v>
      </c>
      <c r="F58" s="34" t="n">
        <f aca="false">Assumptions!$B$5+(INDEX(Assumptions!$D$22:$D$32,MATCH(YEAR($A58),Assumptions!$A$22:$A$32,0))*$C58-Assumptions!$B$5)*MIN(1,$B58/Assumptions!$B$11)</f>
        <v>112.2526720656</v>
      </c>
      <c r="G58" s="34" t="n">
        <f aca="false">(Scenarios!$B$7-Scenarios!$B$8)*(1+Assumptions!$B$10)^$B58</f>
        <v>48.5378765924967</v>
      </c>
      <c r="H58" s="34" t="n">
        <f aca="false">D58*100/(Assumptions!$B$7*Assumptions!$B$6)</f>
        <v>23.1837108379292</v>
      </c>
      <c r="I58" s="34" t="n">
        <f aca="false">E58*100/(Assumptions!$B$7*Assumptions!$B$6)</f>
        <v>35.3024687759377</v>
      </c>
      <c r="J58" s="34" t="n">
        <f aca="false">F58*100/(Assumptions!$B$7*Assumptions!$B$6)</f>
        <v>52.6902519043846</v>
      </c>
      <c r="K58" s="34" t="n">
        <f aca="false">(Scenarios!$B$5+Scenarios!C$12*($A58&gt;=Assumptions!$B$14))*(1+Scenarios!C$13)^MAX(0,YEAR($A58)-Assumptions!$B$18+(MONTH($A58)&gt;=4))</f>
        <v>52.95</v>
      </c>
      <c r="L58" s="34" t="n">
        <f aca="false">(Scenarios!$B$5+Scenarios!D$12*($A58&gt;=Assumptions!$B$14))*(1+Scenarios!D$13)^MAX(0,YEAR($A58)-Assumptions!$B$18+(MONTH($A58)&gt;=4))</f>
        <v>62.4971818531813</v>
      </c>
      <c r="M58" s="34" t="n">
        <f aca="false">(Scenarios!$B$5+Scenarios!E$12*($A58&gt;=Assumptions!$B$14))*(1+Scenarios!E$13)^MAX(0,YEAR($A58)-Assumptions!$B$18+(MONTH($A58)&gt;=4))</f>
        <v>62.4971818531813</v>
      </c>
      <c r="N58" s="34" t="n">
        <f aca="false">$G58+H58</f>
        <v>71.7215874304259</v>
      </c>
      <c r="O58" s="34" t="n">
        <f aca="false">$G58+I58</f>
        <v>83.8403453684343</v>
      </c>
      <c r="P58" s="34" t="n">
        <f aca="false">$G58+J58</f>
        <v>101.228128496881</v>
      </c>
    </row>
    <row r="59" customFormat="false" ht="15" hidden="false" customHeight="false" outlineLevel="0" collapsed="false">
      <c r="A59" s="36" t="n">
        <f aca="false">Scenarios!A59</f>
        <v>47453</v>
      </c>
      <c r="B59" s="21" t="n">
        <f aca="false">Scenarios!B59</f>
        <v>3.25</v>
      </c>
      <c r="C59" s="44" t="n">
        <f aca="false">INDEX(Assumptions!$E$22:$E$32,MATCH(YEAR($A59),Assumptions!$A$22:$A$32,0))</f>
        <v>1.122526720656</v>
      </c>
      <c r="D59" s="34" t="n">
        <f aca="false">Assumptions!$B$5+(INDEX(Assumptions!$B$22:$B$32,MATCH(YEAR($A59),Assumptions!$A$22:$A$32,0))*$C59-Assumptions!$B$5)*MIN(1,$B59/Assumptions!$B$11)</f>
        <v>49.391175708864</v>
      </c>
      <c r="E59" s="34" t="n">
        <f aca="false">Assumptions!$B$5+(INDEX(Assumptions!$C$22:$C$32,MATCH(YEAR($A59),Assumptions!$A$22:$A$32,0))*$C59-Assumptions!$B$5)*MIN(1,$B59/Assumptions!$B$11)</f>
        <v>75.209290283952</v>
      </c>
      <c r="F59" s="34" t="n">
        <f aca="false">Assumptions!$B$5+(INDEX(Assumptions!$D$22:$D$32,MATCH(YEAR($A59),Assumptions!$A$22:$A$32,0))*$C59-Assumptions!$B$5)*MIN(1,$B59/Assumptions!$B$11)</f>
        <v>112.2526720656</v>
      </c>
      <c r="G59" s="34" t="n">
        <f aca="false">(Scenarios!$B$7-Scenarios!$B$8)*(1+Assumptions!$B$10)^$B59</f>
        <v>48.6180408419118</v>
      </c>
      <c r="H59" s="34" t="n">
        <f aca="false">D59*100/(Assumptions!$B$7*Assumptions!$B$6)</f>
        <v>23.1837108379292</v>
      </c>
      <c r="I59" s="34" t="n">
        <f aca="false">E59*100/(Assumptions!$B$7*Assumptions!$B$6)</f>
        <v>35.3024687759377</v>
      </c>
      <c r="J59" s="34" t="n">
        <f aca="false">F59*100/(Assumptions!$B$7*Assumptions!$B$6)</f>
        <v>52.6902519043846</v>
      </c>
      <c r="K59" s="34" t="n">
        <f aca="false">(Scenarios!$B$5+Scenarios!C$12*($A59&gt;=Assumptions!$B$14))*(1+Scenarios!C$13)^MAX(0,YEAR($A59)-Assumptions!$B$18+(MONTH($A59)&gt;=4))</f>
        <v>52.95</v>
      </c>
      <c r="L59" s="34" t="n">
        <f aca="false">(Scenarios!$B$5+Scenarios!D$12*($A59&gt;=Assumptions!$B$14))*(1+Scenarios!D$13)^MAX(0,YEAR($A59)-Assumptions!$B$18+(MONTH($A59)&gt;=4))</f>
        <v>62.4971818531813</v>
      </c>
      <c r="M59" s="34" t="n">
        <f aca="false">(Scenarios!$B$5+Scenarios!E$12*($A59&gt;=Assumptions!$B$14))*(1+Scenarios!E$13)^MAX(0,YEAR($A59)-Assumptions!$B$18+(MONTH($A59)&gt;=4))</f>
        <v>62.4971818531813</v>
      </c>
      <c r="N59" s="34" t="n">
        <f aca="false">$G59+H59</f>
        <v>71.801751679841</v>
      </c>
      <c r="O59" s="34" t="n">
        <f aca="false">$G59+I59</f>
        <v>83.9205096178494</v>
      </c>
      <c r="P59" s="34" t="n">
        <f aca="false">$G59+J59</f>
        <v>101.308292746296</v>
      </c>
    </row>
    <row r="60" customFormat="false" ht="15" hidden="false" customHeight="false" outlineLevel="0" collapsed="false">
      <c r="A60" s="36" t="n">
        <f aca="false">Scenarios!A60</f>
        <v>47484</v>
      </c>
      <c r="B60" s="21" t="n">
        <f aca="false">Scenarios!B60</f>
        <v>3.33333333333333</v>
      </c>
      <c r="C60" s="44" t="n">
        <f aca="false">INDEX(Assumptions!$E$22:$E$32,MATCH(YEAR($A60),Assumptions!$A$22:$A$32,0))</f>
        <v>1.14497725506912</v>
      </c>
      <c r="D60" s="34" t="n">
        <f aca="false">Assumptions!$B$5+(INDEX(Assumptions!$B$22:$B$32,MATCH(YEAR($A60),Assumptions!$A$22:$A$32,0))*$C60-Assumptions!$B$5)*MIN(1,$B60/Assumptions!$B$11)</f>
        <v>51.5239764781104</v>
      </c>
      <c r="E60" s="34" t="n">
        <f aca="false">Assumptions!$B$5+(INDEX(Assumptions!$C$22:$C$32,MATCH(YEAR($A60),Assumptions!$A$22:$A$32,0))*$C60-Assumptions!$B$5)*MIN(1,$B60/Assumptions!$B$11)</f>
        <v>79.0034305997693</v>
      </c>
      <c r="F60" s="34" t="n">
        <f aca="false">Assumptions!$B$5+(INDEX(Assumptions!$D$22:$D$32,MATCH(YEAR($A60),Assumptions!$A$22:$A$32,0))*$C60-Assumptions!$B$5)*MIN(1,$B60/Assumptions!$B$11)</f>
        <v>116.78768001705</v>
      </c>
      <c r="G60" s="34" t="n">
        <f aca="false">(Scenarios!$B$7-Scenarios!$B$8)*(1+Assumptions!$B$10)^$B60</f>
        <v>48.6983374891023</v>
      </c>
      <c r="H60" s="34" t="n">
        <f aca="false">D60*100/(Assumptions!$B$7*Assumptions!$B$6)</f>
        <v>24.1848256241125</v>
      </c>
      <c r="I60" s="34" t="n">
        <f aca="false">E60*100/(Assumptions!$B$7*Assumptions!$B$6)</f>
        <v>37.0833992903059</v>
      </c>
      <c r="J60" s="34" t="n">
        <f aca="false">F60*100/(Assumptions!$B$7*Assumptions!$B$6)</f>
        <v>54.8189380813217</v>
      </c>
      <c r="K60" s="34" t="n">
        <f aca="false">(Scenarios!$B$5+Scenarios!C$12*($A60&gt;=Assumptions!$B$14))*(1+Scenarios!C$13)^MAX(0,YEAR($A60)-Assumptions!$B$18+(MONTH($A60)&gt;=4))</f>
        <v>52.95</v>
      </c>
      <c r="L60" s="34" t="n">
        <f aca="false">(Scenarios!$B$5+Scenarios!D$12*($A60&gt;=Assumptions!$B$14))*(1+Scenarios!D$13)^MAX(0,YEAR($A60)-Assumptions!$B$18+(MONTH($A60)&gt;=4))</f>
        <v>62.4971818531813</v>
      </c>
      <c r="M60" s="34" t="n">
        <f aca="false">(Scenarios!$B$5+Scenarios!E$12*($A60&gt;=Assumptions!$B$14))*(1+Scenarios!E$13)^MAX(0,YEAR($A60)-Assumptions!$B$18+(MONTH($A60)&gt;=4))</f>
        <v>62.4971818531813</v>
      </c>
      <c r="N60" s="34" t="n">
        <f aca="false">$G60+H60</f>
        <v>72.8831631132148</v>
      </c>
      <c r="O60" s="34" t="n">
        <f aca="false">$G60+I60</f>
        <v>85.7817367794081</v>
      </c>
      <c r="P60" s="34" t="n">
        <f aca="false">$G60+J60</f>
        <v>103.517275570424</v>
      </c>
    </row>
    <row r="61" customFormat="false" ht="15" hidden="false" customHeight="false" outlineLevel="0" collapsed="false">
      <c r="A61" s="36" t="n">
        <f aca="false">Scenarios!A61</f>
        <v>47515</v>
      </c>
      <c r="B61" s="21" t="n">
        <f aca="false">Scenarios!B61</f>
        <v>3.41666666666667</v>
      </c>
      <c r="C61" s="44" t="n">
        <f aca="false">INDEX(Assumptions!$E$22:$E$32,MATCH(YEAR($A61),Assumptions!$A$22:$A$32,0))</f>
        <v>1.14497725506912</v>
      </c>
      <c r="D61" s="34" t="n">
        <f aca="false">Assumptions!$B$5+(INDEX(Assumptions!$B$22:$B$32,MATCH(YEAR($A61),Assumptions!$A$22:$A$32,0))*$C61-Assumptions!$B$5)*MIN(1,$B61/Assumptions!$B$11)</f>
        <v>51.5239764781104</v>
      </c>
      <c r="E61" s="34" t="n">
        <f aca="false">Assumptions!$B$5+(INDEX(Assumptions!$C$22:$C$32,MATCH(YEAR($A61),Assumptions!$A$22:$A$32,0))*$C61-Assumptions!$B$5)*MIN(1,$B61/Assumptions!$B$11)</f>
        <v>79.0034305997693</v>
      </c>
      <c r="F61" s="34" t="n">
        <f aca="false">Assumptions!$B$5+(INDEX(Assumptions!$D$22:$D$32,MATCH(YEAR($A61),Assumptions!$A$22:$A$32,0))*$C61-Assumptions!$B$5)*MIN(1,$B61/Assumptions!$B$11)</f>
        <v>116.78768001705</v>
      </c>
      <c r="G61" s="34" t="n">
        <f aca="false">(Scenarios!$B$7-Scenarios!$B$8)*(1+Assumptions!$B$10)^$B61</f>
        <v>48.7787667527339</v>
      </c>
      <c r="H61" s="34" t="n">
        <f aca="false">D61*100/(Assumptions!$B$7*Assumptions!$B$6)</f>
        <v>24.1848256241125</v>
      </c>
      <c r="I61" s="34" t="n">
        <f aca="false">E61*100/(Assumptions!$B$7*Assumptions!$B$6)</f>
        <v>37.0833992903059</v>
      </c>
      <c r="J61" s="34" t="n">
        <f aca="false">F61*100/(Assumptions!$B$7*Assumptions!$B$6)</f>
        <v>54.8189380813217</v>
      </c>
      <c r="K61" s="34" t="n">
        <f aca="false">(Scenarios!$B$5+Scenarios!C$12*($A61&gt;=Assumptions!$B$14))*(1+Scenarios!C$13)^MAX(0,YEAR($A61)-Assumptions!$B$18+(MONTH($A61)&gt;=4))</f>
        <v>52.95</v>
      </c>
      <c r="L61" s="34" t="n">
        <f aca="false">(Scenarios!$B$5+Scenarios!D$12*($A61&gt;=Assumptions!$B$14))*(1+Scenarios!D$13)^MAX(0,YEAR($A61)-Assumptions!$B$18+(MONTH($A61)&gt;=4))</f>
        <v>62.4971818531813</v>
      </c>
      <c r="M61" s="34" t="n">
        <f aca="false">(Scenarios!$B$5+Scenarios!E$12*($A61&gt;=Assumptions!$B$14))*(1+Scenarios!E$13)^MAX(0,YEAR($A61)-Assumptions!$B$18+(MONTH($A61)&gt;=4))</f>
        <v>62.4971818531813</v>
      </c>
      <c r="N61" s="34" t="n">
        <f aca="false">$G61+H61</f>
        <v>72.9635923768464</v>
      </c>
      <c r="O61" s="34" t="n">
        <f aca="false">$G61+I61</f>
        <v>85.8621660430397</v>
      </c>
      <c r="P61" s="34" t="n">
        <f aca="false">$G61+J61</f>
        <v>103.597704834056</v>
      </c>
    </row>
    <row r="62" customFormat="false" ht="15" hidden="false" customHeight="false" outlineLevel="0" collapsed="false">
      <c r="A62" s="36" t="n">
        <f aca="false">Scenarios!A62</f>
        <v>47543</v>
      </c>
      <c r="B62" s="21" t="n">
        <f aca="false">Scenarios!B62</f>
        <v>3.5</v>
      </c>
      <c r="C62" s="44" t="n">
        <f aca="false">INDEX(Assumptions!$E$22:$E$32,MATCH(YEAR($A62),Assumptions!$A$22:$A$32,0))</f>
        <v>1.14497725506912</v>
      </c>
      <c r="D62" s="34" t="n">
        <f aca="false">Assumptions!$B$5+(INDEX(Assumptions!$B$22:$B$32,MATCH(YEAR($A62),Assumptions!$A$22:$A$32,0))*$C62-Assumptions!$B$5)*MIN(1,$B62/Assumptions!$B$11)</f>
        <v>51.5239764781104</v>
      </c>
      <c r="E62" s="34" t="n">
        <f aca="false">Assumptions!$B$5+(INDEX(Assumptions!$C$22:$C$32,MATCH(YEAR($A62),Assumptions!$A$22:$A$32,0))*$C62-Assumptions!$B$5)*MIN(1,$B62/Assumptions!$B$11)</f>
        <v>79.0034305997693</v>
      </c>
      <c r="F62" s="34" t="n">
        <f aca="false">Assumptions!$B$5+(INDEX(Assumptions!$D$22:$D$32,MATCH(YEAR($A62),Assumptions!$A$22:$A$32,0))*$C62-Assumptions!$B$5)*MIN(1,$B62/Assumptions!$B$11)</f>
        <v>116.78768001705</v>
      </c>
      <c r="G62" s="34" t="n">
        <f aca="false">(Scenarios!$B$7-Scenarios!$B$8)*(1+Assumptions!$B$10)^$B62</f>
        <v>48.8593288518334</v>
      </c>
      <c r="H62" s="34" t="n">
        <f aca="false">D62*100/(Assumptions!$B$7*Assumptions!$B$6)</f>
        <v>24.1848256241125</v>
      </c>
      <c r="I62" s="34" t="n">
        <f aca="false">E62*100/(Assumptions!$B$7*Assumptions!$B$6)</f>
        <v>37.0833992903059</v>
      </c>
      <c r="J62" s="34" t="n">
        <f aca="false">F62*100/(Assumptions!$B$7*Assumptions!$B$6)</f>
        <v>54.8189380813217</v>
      </c>
      <c r="K62" s="34" t="n">
        <f aca="false">(Scenarios!$B$5+Scenarios!C$12*($A62&gt;=Assumptions!$B$14))*(1+Scenarios!C$13)^MAX(0,YEAR($A62)-Assumptions!$B$18+(MONTH($A62)&gt;=4))</f>
        <v>52.95</v>
      </c>
      <c r="L62" s="34" t="n">
        <f aca="false">(Scenarios!$B$5+Scenarios!D$12*($A62&gt;=Assumptions!$B$14))*(1+Scenarios!D$13)^MAX(0,YEAR($A62)-Assumptions!$B$18+(MONTH($A62)&gt;=4))</f>
        <v>62.4971818531813</v>
      </c>
      <c r="M62" s="34" t="n">
        <f aca="false">(Scenarios!$B$5+Scenarios!E$12*($A62&gt;=Assumptions!$B$14))*(1+Scenarios!E$13)^MAX(0,YEAR($A62)-Assumptions!$B$18+(MONTH($A62)&gt;=4))</f>
        <v>62.4971818531813</v>
      </c>
      <c r="N62" s="34" t="n">
        <f aca="false">$G62+H62</f>
        <v>73.0441544759459</v>
      </c>
      <c r="O62" s="34" t="n">
        <f aca="false">$G62+I62</f>
        <v>85.9427281421392</v>
      </c>
      <c r="P62" s="34" t="n">
        <f aca="false">$G62+J62</f>
        <v>103.678266933155</v>
      </c>
    </row>
    <row r="63" customFormat="false" ht="15" hidden="false" customHeight="false" outlineLevel="0" collapsed="false">
      <c r="A63" s="36" t="n">
        <f aca="false">Scenarios!A63</f>
        <v>47574</v>
      </c>
      <c r="B63" s="21" t="n">
        <f aca="false">Scenarios!B63</f>
        <v>3.58333333333333</v>
      </c>
      <c r="C63" s="44" t="n">
        <f aca="false">INDEX(Assumptions!$E$22:$E$32,MATCH(YEAR($A63),Assumptions!$A$22:$A$32,0))</f>
        <v>1.14497725506912</v>
      </c>
      <c r="D63" s="34" t="n">
        <f aca="false">Assumptions!$B$5+(INDEX(Assumptions!$B$22:$B$32,MATCH(YEAR($A63),Assumptions!$A$22:$A$32,0))*$C63-Assumptions!$B$5)*MIN(1,$B63/Assumptions!$B$11)</f>
        <v>51.5239764781104</v>
      </c>
      <c r="E63" s="34" t="n">
        <f aca="false">Assumptions!$B$5+(INDEX(Assumptions!$C$22:$C$32,MATCH(YEAR($A63),Assumptions!$A$22:$A$32,0))*$C63-Assumptions!$B$5)*MIN(1,$B63/Assumptions!$B$11)</f>
        <v>79.0034305997693</v>
      </c>
      <c r="F63" s="34" t="n">
        <f aca="false">Assumptions!$B$5+(INDEX(Assumptions!$D$22:$D$32,MATCH(YEAR($A63),Assumptions!$A$22:$A$32,0))*$C63-Assumptions!$B$5)*MIN(1,$B63/Assumptions!$B$11)</f>
        <v>116.78768001705</v>
      </c>
      <c r="G63" s="34" t="n">
        <f aca="false">(Scenarios!$B$7-Scenarios!$B$8)*(1+Assumptions!$B$10)^$B63</f>
        <v>48.9400240057895</v>
      </c>
      <c r="H63" s="34" t="n">
        <f aca="false">D63*100/(Assumptions!$B$7*Assumptions!$B$6)</f>
        <v>24.1848256241125</v>
      </c>
      <c r="I63" s="34" t="n">
        <f aca="false">E63*100/(Assumptions!$B$7*Assumptions!$B$6)</f>
        <v>37.0833992903059</v>
      </c>
      <c r="J63" s="34" t="n">
        <f aca="false">F63*100/(Assumptions!$B$7*Assumptions!$B$6)</f>
        <v>54.8189380813217</v>
      </c>
      <c r="K63" s="34" t="n">
        <f aca="false">(Scenarios!$B$5+Scenarios!C$12*($A63&gt;=Assumptions!$B$14))*(1+Scenarios!C$13)^MAX(0,YEAR($A63)-Assumptions!$B$18+(MONTH($A63)&gt;=4))</f>
        <v>52.95</v>
      </c>
      <c r="L63" s="34" t="n">
        <f aca="false">(Scenarios!$B$5+Scenarios!D$12*($A63&gt;=Assumptions!$B$14))*(1+Scenarios!D$13)^MAX(0,YEAR($A63)-Assumptions!$B$18+(MONTH($A63)&gt;=4))</f>
        <v>64.0908599904374</v>
      </c>
      <c r="M63" s="34" t="n">
        <f aca="false">(Scenarios!$B$5+Scenarios!E$12*($A63&gt;=Assumptions!$B$14))*(1+Scenarios!E$13)^MAX(0,YEAR($A63)-Assumptions!$B$18+(MONTH($A63)&gt;=4))</f>
        <v>64.0908599904374</v>
      </c>
      <c r="N63" s="34" t="n">
        <f aca="false">$G63+H63</f>
        <v>73.124849629902</v>
      </c>
      <c r="O63" s="34" t="n">
        <f aca="false">$G63+I63</f>
        <v>86.0234232960953</v>
      </c>
      <c r="P63" s="34" t="n">
        <f aca="false">$G63+J63</f>
        <v>103.758962087111</v>
      </c>
    </row>
    <row r="64" customFormat="false" ht="15" hidden="false" customHeight="false" outlineLevel="0" collapsed="false">
      <c r="A64" s="36" t="n">
        <f aca="false">Scenarios!A64</f>
        <v>47604</v>
      </c>
      <c r="B64" s="21" t="n">
        <f aca="false">Scenarios!B64</f>
        <v>3.66666666666667</v>
      </c>
      <c r="C64" s="44" t="n">
        <f aca="false">INDEX(Assumptions!$E$22:$E$32,MATCH(YEAR($A64),Assumptions!$A$22:$A$32,0))</f>
        <v>1.14497725506912</v>
      </c>
      <c r="D64" s="34" t="n">
        <f aca="false">Assumptions!$B$5+(INDEX(Assumptions!$B$22:$B$32,MATCH(YEAR($A64),Assumptions!$A$22:$A$32,0))*$C64-Assumptions!$B$5)*MIN(1,$B64/Assumptions!$B$11)</f>
        <v>51.5239764781104</v>
      </c>
      <c r="E64" s="34" t="n">
        <f aca="false">Assumptions!$B$5+(INDEX(Assumptions!$C$22:$C$32,MATCH(YEAR($A64),Assumptions!$A$22:$A$32,0))*$C64-Assumptions!$B$5)*MIN(1,$B64/Assumptions!$B$11)</f>
        <v>79.0034305997693</v>
      </c>
      <c r="F64" s="34" t="n">
        <f aca="false">Assumptions!$B$5+(INDEX(Assumptions!$D$22:$D$32,MATCH(YEAR($A64),Assumptions!$A$22:$A$32,0))*$C64-Assumptions!$B$5)*MIN(1,$B64/Assumptions!$B$11)</f>
        <v>116.78768001705</v>
      </c>
      <c r="G64" s="34" t="n">
        <f aca="false">(Scenarios!$B$7-Scenarios!$B$8)*(1+Assumptions!$B$10)^$B64</f>
        <v>49.0208524343529</v>
      </c>
      <c r="H64" s="34" t="n">
        <f aca="false">D64*100/(Assumptions!$B$7*Assumptions!$B$6)</f>
        <v>24.1848256241125</v>
      </c>
      <c r="I64" s="34" t="n">
        <f aca="false">E64*100/(Assumptions!$B$7*Assumptions!$B$6)</f>
        <v>37.0833992903059</v>
      </c>
      <c r="J64" s="34" t="n">
        <f aca="false">F64*100/(Assumptions!$B$7*Assumptions!$B$6)</f>
        <v>54.8189380813217</v>
      </c>
      <c r="K64" s="34" t="n">
        <f aca="false">(Scenarios!$B$5+Scenarios!C$12*($A64&gt;=Assumptions!$B$14))*(1+Scenarios!C$13)^MAX(0,YEAR($A64)-Assumptions!$B$18+(MONTH($A64)&gt;=4))</f>
        <v>52.95</v>
      </c>
      <c r="L64" s="34" t="n">
        <f aca="false">(Scenarios!$B$5+Scenarios!D$12*($A64&gt;=Assumptions!$B$14))*(1+Scenarios!D$13)^MAX(0,YEAR($A64)-Assumptions!$B$18+(MONTH($A64)&gt;=4))</f>
        <v>64.0908599904374</v>
      </c>
      <c r="M64" s="34" t="n">
        <f aca="false">(Scenarios!$B$5+Scenarios!E$12*($A64&gt;=Assumptions!$B$14))*(1+Scenarios!E$13)^MAX(0,YEAR($A64)-Assumptions!$B$18+(MONTH($A64)&gt;=4))</f>
        <v>64.0908599904374</v>
      </c>
      <c r="N64" s="34" t="n">
        <f aca="false">$G64+H64</f>
        <v>73.2056780584654</v>
      </c>
      <c r="O64" s="34" t="n">
        <f aca="false">$G64+I64</f>
        <v>86.1042517246588</v>
      </c>
      <c r="P64" s="34" t="n">
        <f aca="false">$G64+J64</f>
        <v>103.839790515675</v>
      </c>
    </row>
    <row r="65" customFormat="false" ht="15" hidden="false" customHeight="false" outlineLevel="0" collapsed="false">
      <c r="A65" s="36" t="n">
        <f aca="false">Scenarios!A65</f>
        <v>47635</v>
      </c>
      <c r="B65" s="21" t="n">
        <f aca="false">Scenarios!B65</f>
        <v>3.75</v>
      </c>
      <c r="C65" s="44" t="n">
        <f aca="false">INDEX(Assumptions!$E$22:$E$32,MATCH(YEAR($A65),Assumptions!$A$22:$A$32,0))</f>
        <v>1.14497725506912</v>
      </c>
      <c r="D65" s="34" t="n">
        <f aca="false">Assumptions!$B$5+(INDEX(Assumptions!$B$22:$B$32,MATCH(YEAR($A65),Assumptions!$A$22:$A$32,0))*$C65-Assumptions!$B$5)*MIN(1,$B65/Assumptions!$B$11)</f>
        <v>51.5239764781104</v>
      </c>
      <c r="E65" s="34" t="n">
        <f aca="false">Assumptions!$B$5+(INDEX(Assumptions!$C$22:$C$32,MATCH(YEAR($A65),Assumptions!$A$22:$A$32,0))*$C65-Assumptions!$B$5)*MIN(1,$B65/Assumptions!$B$11)</f>
        <v>79.0034305997693</v>
      </c>
      <c r="F65" s="34" t="n">
        <f aca="false">Assumptions!$B$5+(INDEX(Assumptions!$D$22:$D$32,MATCH(YEAR($A65),Assumptions!$A$22:$A$32,0))*$C65-Assumptions!$B$5)*MIN(1,$B65/Assumptions!$B$11)</f>
        <v>116.78768001705</v>
      </c>
      <c r="G65" s="34" t="n">
        <f aca="false">(Scenarios!$B$7-Scenarios!$B$8)*(1+Assumptions!$B$10)^$B65</f>
        <v>49.1018143576377</v>
      </c>
      <c r="H65" s="34" t="n">
        <f aca="false">D65*100/(Assumptions!$B$7*Assumptions!$B$6)</f>
        <v>24.1848256241125</v>
      </c>
      <c r="I65" s="34" t="n">
        <f aca="false">E65*100/(Assumptions!$B$7*Assumptions!$B$6)</f>
        <v>37.0833992903059</v>
      </c>
      <c r="J65" s="34" t="n">
        <f aca="false">F65*100/(Assumptions!$B$7*Assumptions!$B$6)</f>
        <v>54.8189380813217</v>
      </c>
      <c r="K65" s="34" t="n">
        <f aca="false">(Scenarios!$B$5+Scenarios!C$12*($A65&gt;=Assumptions!$B$14))*(1+Scenarios!C$13)^MAX(0,YEAR($A65)-Assumptions!$B$18+(MONTH($A65)&gt;=4))</f>
        <v>52.95</v>
      </c>
      <c r="L65" s="34" t="n">
        <f aca="false">(Scenarios!$B$5+Scenarios!D$12*($A65&gt;=Assumptions!$B$14))*(1+Scenarios!D$13)^MAX(0,YEAR($A65)-Assumptions!$B$18+(MONTH($A65)&gt;=4))</f>
        <v>64.0908599904374</v>
      </c>
      <c r="M65" s="34" t="n">
        <f aca="false">(Scenarios!$B$5+Scenarios!E$12*($A65&gt;=Assumptions!$B$14))*(1+Scenarios!E$13)^MAX(0,YEAR($A65)-Assumptions!$B$18+(MONTH($A65)&gt;=4))</f>
        <v>64.0908599904374</v>
      </c>
      <c r="N65" s="34" t="n">
        <f aca="false">$G65+H65</f>
        <v>73.2866399817502</v>
      </c>
      <c r="O65" s="34" t="n">
        <f aca="false">$G65+I65</f>
        <v>86.1852136479435</v>
      </c>
      <c r="P65" s="34" t="n">
        <f aca="false">$G65+J65</f>
        <v>103.920752438959</v>
      </c>
    </row>
    <row r="66" customFormat="false" ht="15" hidden="false" customHeight="false" outlineLevel="0" collapsed="false">
      <c r="A66" s="36" t="n">
        <f aca="false">Scenarios!A66</f>
        <v>47665</v>
      </c>
      <c r="B66" s="21" t="n">
        <f aca="false">Scenarios!B66</f>
        <v>3.83333333333333</v>
      </c>
      <c r="C66" s="44" t="n">
        <f aca="false">INDEX(Assumptions!$E$22:$E$32,MATCH(YEAR($A66),Assumptions!$A$22:$A$32,0))</f>
        <v>1.14497725506912</v>
      </c>
      <c r="D66" s="34" t="n">
        <f aca="false">Assumptions!$B$5+(INDEX(Assumptions!$B$22:$B$32,MATCH(YEAR($A66),Assumptions!$A$22:$A$32,0))*$C66-Assumptions!$B$5)*MIN(1,$B66/Assumptions!$B$11)</f>
        <v>51.5239764781104</v>
      </c>
      <c r="E66" s="34" t="n">
        <f aca="false">Assumptions!$B$5+(INDEX(Assumptions!$C$22:$C$32,MATCH(YEAR($A66),Assumptions!$A$22:$A$32,0))*$C66-Assumptions!$B$5)*MIN(1,$B66/Assumptions!$B$11)</f>
        <v>79.0034305997693</v>
      </c>
      <c r="F66" s="34" t="n">
        <f aca="false">Assumptions!$B$5+(INDEX(Assumptions!$D$22:$D$32,MATCH(YEAR($A66),Assumptions!$A$22:$A$32,0))*$C66-Assumptions!$B$5)*MIN(1,$B66/Assumptions!$B$11)</f>
        <v>116.78768001705</v>
      </c>
      <c r="G66" s="34" t="n">
        <f aca="false">(Scenarios!$B$7-Scenarios!$B$8)*(1+Assumptions!$B$10)^$B66</f>
        <v>49.1829099961211</v>
      </c>
      <c r="H66" s="34" t="n">
        <f aca="false">D66*100/(Assumptions!$B$7*Assumptions!$B$6)</f>
        <v>24.1848256241125</v>
      </c>
      <c r="I66" s="34" t="n">
        <f aca="false">E66*100/(Assumptions!$B$7*Assumptions!$B$6)</f>
        <v>37.0833992903059</v>
      </c>
      <c r="J66" s="34" t="n">
        <f aca="false">F66*100/(Assumptions!$B$7*Assumptions!$B$6)</f>
        <v>54.8189380813217</v>
      </c>
      <c r="K66" s="34" t="n">
        <f aca="false">(Scenarios!$B$5+Scenarios!C$12*($A66&gt;=Assumptions!$B$14))*(1+Scenarios!C$13)^MAX(0,YEAR($A66)-Assumptions!$B$18+(MONTH($A66)&gt;=4))</f>
        <v>52.95</v>
      </c>
      <c r="L66" s="34" t="n">
        <f aca="false">(Scenarios!$B$5+Scenarios!D$12*($A66&gt;=Assumptions!$B$14))*(1+Scenarios!D$13)^MAX(0,YEAR($A66)-Assumptions!$B$18+(MONTH($A66)&gt;=4))</f>
        <v>64.0908599904374</v>
      </c>
      <c r="M66" s="34" t="n">
        <f aca="false">(Scenarios!$B$5+Scenarios!E$12*($A66&gt;=Assumptions!$B$14))*(1+Scenarios!E$13)^MAX(0,YEAR($A66)-Assumptions!$B$18+(MONTH($A66)&gt;=4))</f>
        <v>64.0908599904374</v>
      </c>
      <c r="N66" s="34" t="n">
        <f aca="false">$G66+H66</f>
        <v>73.3677356202337</v>
      </c>
      <c r="O66" s="34" t="n">
        <f aca="false">$G66+I66</f>
        <v>86.266309286427</v>
      </c>
      <c r="P66" s="34" t="n">
        <f aca="false">$G66+J66</f>
        <v>104.001848077443</v>
      </c>
    </row>
    <row r="67" customFormat="false" ht="15" hidden="false" customHeight="false" outlineLevel="0" collapsed="false">
      <c r="A67" s="36" t="n">
        <f aca="false">Scenarios!A67</f>
        <v>47696</v>
      </c>
      <c r="B67" s="21" t="n">
        <f aca="false">Scenarios!B67</f>
        <v>3.91666666666667</v>
      </c>
      <c r="C67" s="44" t="n">
        <f aca="false">INDEX(Assumptions!$E$22:$E$32,MATCH(YEAR($A67),Assumptions!$A$22:$A$32,0))</f>
        <v>1.14497725506912</v>
      </c>
      <c r="D67" s="34" t="n">
        <f aca="false">Assumptions!$B$5+(INDEX(Assumptions!$B$22:$B$32,MATCH(YEAR($A67),Assumptions!$A$22:$A$32,0))*$C67-Assumptions!$B$5)*MIN(1,$B67/Assumptions!$B$11)</f>
        <v>51.5239764781104</v>
      </c>
      <c r="E67" s="34" t="n">
        <f aca="false">Assumptions!$B$5+(INDEX(Assumptions!$C$22:$C$32,MATCH(YEAR($A67),Assumptions!$A$22:$A$32,0))*$C67-Assumptions!$B$5)*MIN(1,$B67/Assumptions!$B$11)</f>
        <v>79.0034305997693</v>
      </c>
      <c r="F67" s="34" t="n">
        <f aca="false">Assumptions!$B$5+(INDEX(Assumptions!$D$22:$D$32,MATCH(YEAR($A67),Assumptions!$A$22:$A$32,0))*$C67-Assumptions!$B$5)*MIN(1,$B67/Assumptions!$B$11)</f>
        <v>116.78768001705</v>
      </c>
      <c r="G67" s="34" t="n">
        <f aca="false">(Scenarios!$B$7-Scenarios!$B$8)*(1+Assumptions!$B$10)^$B67</f>
        <v>49.2641395706447</v>
      </c>
      <c r="H67" s="34" t="n">
        <f aca="false">D67*100/(Assumptions!$B$7*Assumptions!$B$6)</f>
        <v>24.1848256241125</v>
      </c>
      <c r="I67" s="34" t="n">
        <f aca="false">E67*100/(Assumptions!$B$7*Assumptions!$B$6)</f>
        <v>37.0833992903059</v>
      </c>
      <c r="J67" s="34" t="n">
        <f aca="false">F67*100/(Assumptions!$B$7*Assumptions!$B$6)</f>
        <v>54.8189380813217</v>
      </c>
      <c r="K67" s="34" t="n">
        <f aca="false">(Scenarios!$B$5+Scenarios!C$12*($A67&gt;=Assumptions!$B$14))*(1+Scenarios!C$13)^MAX(0,YEAR($A67)-Assumptions!$B$18+(MONTH($A67)&gt;=4))</f>
        <v>52.95</v>
      </c>
      <c r="L67" s="34" t="n">
        <f aca="false">(Scenarios!$B$5+Scenarios!D$12*($A67&gt;=Assumptions!$B$14))*(1+Scenarios!D$13)^MAX(0,YEAR($A67)-Assumptions!$B$18+(MONTH($A67)&gt;=4))</f>
        <v>64.0908599904374</v>
      </c>
      <c r="M67" s="34" t="n">
        <f aca="false">(Scenarios!$B$5+Scenarios!E$12*($A67&gt;=Assumptions!$B$14))*(1+Scenarios!E$13)^MAX(0,YEAR($A67)-Assumptions!$B$18+(MONTH($A67)&gt;=4))</f>
        <v>64.0908599904374</v>
      </c>
      <c r="N67" s="34" t="n">
        <f aca="false">$G67+H67</f>
        <v>73.4489651947573</v>
      </c>
      <c r="O67" s="34" t="n">
        <f aca="false">$G67+I67</f>
        <v>86.3475388609506</v>
      </c>
      <c r="P67" s="34" t="n">
        <f aca="false">$G67+J67</f>
        <v>104.083077651966</v>
      </c>
    </row>
    <row r="68" customFormat="false" ht="15" hidden="false" customHeight="false" outlineLevel="0" collapsed="false">
      <c r="A68" s="36" t="n">
        <f aca="false">Scenarios!A68</f>
        <v>47727</v>
      </c>
      <c r="B68" s="21" t="n">
        <f aca="false">Scenarios!B68</f>
        <v>4</v>
      </c>
      <c r="C68" s="44" t="n">
        <f aca="false">INDEX(Assumptions!$E$22:$E$32,MATCH(YEAR($A68),Assumptions!$A$22:$A$32,0))</f>
        <v>1.14497725506912</v>
      </c>
      <c r="D68" s="34" t="n">
        <f aca="false">Assumptions!$B$5+(INDEX(Assumptions!$B$22:$B$32,MATCH(YEAR($A68),Assumptions!$A$22:$A$32,0))*$C68-Assumptions!$B$5)*MIN(1,$B68/Assumptions!$B$11)</f>
        <v>51.5239764781104</v>
      </c>
      <c r="E68" s="34" t="n">
        <f aca="false">Assumptions!$B$5+(INDEX(Assumptions!$C$22:$C$32,MATCH(YEAR($A68),Assumptions!$A$22:$A$32,0))*$C68-Assumptions!$B$5)*MIN(1,$B68/Assumptions!$B$11)</f>
        <v>79.0034305997693</v>
      </c>
      <c r="F68" s="34" t="n">
        <f aca="false">Assumptions!$B$5+(INDEX(Assumptions!$D$22:$D$32,MATCH(YEAR($A68),Assumptions!$A$22:$A$32,0))*$C68-Assumptions!$B$5)*MIN(1,$B68/Assumptions!$B$11)</f>
        <v>116.78768001705</v>
      </c>
      <c r="G68" s="34" t="n">
        <f aca="false">(Scenarios!$B$7-Scenarios!$B$8)*(1+Assumptions!$B$10)^$B68</f>
        <v>49.3455033024148</v>
      </c>
      <c r="H68" s="34" t="n">
        <f aca="false">D68*100/(Assumptions!$B$7*Assumptions!$B$6)</f>
        <v>24.1848256241125</v>
      </c>
      <c r="I68" s="34" t="n">
        <f aca="false">E68*100/(Assumptions!$B$7*Assumptions!$B$6)</f>
        <v>37.0833992903059</v>
      </c>
      <c r="J68" s="34" t="n">
        <f aca="false">F68*100/(Assumptions!$B$7*Assumptions!$B$6)</f>
        <v>54.8189380813217</v>
      </c>
      <c r="K68" s="34" t="n">
        <f aca="false">(Scenarios!$B$5+Scenarios!C$12*($A68&gt;=Assumptions!$B$14))*(1+Scenarios!C$13)^MAX(0,YEAR($A68)-Assumptions!$B$18+(MONTH($A68)&gt;=4))</f>
        <v>52.95</v>
      </c>
      <c r="L68" s="34" t="n">
        <f aca="false">(Scenarios!$B$5+Scenarios!D$12*($A68&gt;=Assumptions!$B$14))*(1+Scenarios!D$13)^MAX(0,YEAR($A68)-Assumptions!$B$18+(MONTH($A68)&gt;=4))</f>
        <v>64.0908599904374</v>
      </c>
      <c r="M68" s="34" t="n">
        <f aca="false">(Scenarios!$B$5+Scenarios!E$12*($A68&gt;=Assumptions!$B$14))*(1+Scenarios!E$13)^MAX(0,YEAR($A68)-Assumptions!$B$18+(MONTH($A68)&gt;=4))</f>
        <v>64.0908599904374</v>
      </c>
      <c r="N68" s="34" t="n">
        <f aca="false">$G68+H68</f>
        <v>73.5303289265273</v>
      </c>
      <c r="O68" s="34" t="n">
        <f aca="false">$G68+I68</f>
        <v>86.4289025927207</v>
      </c>
      <c r="P68" s="34" t="n">
        <f aca="false">$G68+J68</f>
        <v>104.164441383737</v>
      </c>
    </row>
    <row r="69" customFormat="false" ht="15" hidden="false" customHeight="false" outlineLevel="0" collapsed="false">
      <c r="A69" s="36" t="n">
        <f aca="false">Scenarios!A69</f>
        <v>47757</v>
      </c>
      <c r="B69" s="21" t="n">
        <f aca="false">Scenarios!B69</f>
        <v>4.08333333333333</v>
      </c>
      <c r="C69" s="44" t="n">
        <f aca="false">INDEX(Assumptions!$E$22:$E$32,MATCH(YEAR($A69),Assumptions!$A$22:$A$32,0))</f>
        <v>1.14497725506912</v>
      </c>
      <c r="D69" s="34" t="n">
        <f aca="false">Assumptions!$B$5+(INDEX(Assumptions!$B$22:$B$32,MATCH(YEAR($A69),Assumptions!$A$22:$A$32,0))*$C69-Assumptions!$B$5)*MIN(1,$B69/Assumptions!$B$11)</f>
        <v>51.5239764781104</v>
      </c>
      <c r="E69" s="34" t="n">
        <f aca="false">Assumptions!$B$5+(INDEX(Assumptions!$C$22:$C$32,MATCH(YEAR($A69),Assumptions!$A$22:$A$32,0))*$C69-Assumptions!$B$5)*MIN(1,$B69/Assumptions!$B$11)</f>
        <v>79.0034305997693</v>
      </c>
      <c r="F69" s="34" t="n">
        <f aca="false">Assumptions!$B$5+(INDEX(Assumptions!$D$22:$D$32,MATCH(YEAR($A69),Assumptions!$A$22:$A$32,0))*$C69-Assumptions!$B$5)*MIN(1,$B69/Assumptions!$B$11)</f>
        <v>116.78768001705</v>
      </c>
      <c r="G69" s="34" t="n">
        <f aca="false">(Scenarios!$B$7-Scenarios!$B$8)*(1+Assumptions!$B$10)^$B69</f>
        <v>49.4270014130029</v>
      </c>
      <c r="H69" s="34" t="n">
        <f aca="false">D69*100/(Assumptions!$B$7*Assumptions!$B$6)</f>
        <v>24.1848256241125</v>
      </c>
      <c r="I69" s="34" t="n">
        <f aca="false">E69*100/(Assumptions!$B$7*Assumptions!$B$6)</f>
        <v>37.0833992903059</v>
      </c>
      <c r="J69" s="34" t="n">
        <f aca="false">F69*100/(Assumptions!$B$7*Assumptions!$B$6)</f>
        <v>54.8189380813217</v>
      </c>
      <c r="K69" s="34" t="n">
        <f aca="false">(Scenarios!$B$5+Scenarios!C$12*($A69&gt;=Assumptions!$B$14))*(1+Scenarios!C$13)^MAX(0,YEAR($A69)-Assumptions!$B$18+(MONTH($A69)&gt;=4))</f>
        <v>52.95</v>
      </c>
      <c r="L69" s="34" t="n">
        <f aca="false">(Scenarios!$B$5+Scenarios!D$12*($A69&gt;=Assumptions!$B$14))*(1+Scenarios!D$13)^MAX(0,YEAR($A69)-Assumptions!$B$18+(MONTH($A69)&gt;=4))</f>
        <v>64.0908599904374</v>
      </c>
      <c r="M69" s="34" t="n">
        <f aca="false">(Scenarios!$B$5+Scenarios!E$12*($A69&gt;=Assumptions!$B$14))*(1+Scenarios!E$13)^MAX(0,YEAR($A69)-Assumptions!$B$18+(MONTH($A69)&gt;=4))</f>
        <v>64.0908599904374</v>
      </c>
      <c r="N69" s="34" t="n">
        <f aca="false">$G69+H69</f>
        <v>73.6118270371154</v>
      </c>
      <c r="O69" s="34" t="n">
        <f aca="false">$G69+I69</f>
        <v>86.5104007033088</v>
      </c>
      <c r="P69" s="34" t="n">
        <f aca="false">$G69+J69</f>
        <v>104.245939494325</v>
      </c>
    </row>
    <row r="70" customFormat="false" ht="15" hidden="false" customHeight="false" outlineLevel="0" collapsed="false">
      <c r="A70" s="36" t="n">
        <f aca="false">Scenarios!A70</f>
        <v>47788</v>
      </c>
      <c r="B70" s="21" t="n">
        <f aca="false">Scenarios!B70</f>
        <v>4.16666666666667</v>
      </c>
      <c r="C70" s="44" t="n">
        <f aca="false">INDEX(Assumptions!$E$22:$E$32,MATCH(YEAR($A70),Assumptions!$A$22:$A$32,0))</f>
        <v>1.14497725506912</v>
      </c>
      <c r="D70" s="34" t="n">
        <f aca="false">Assumptions!$B$5+(INDEX(Assumptions!$B$22:$B$32,MATCH(YEAR($A70),Assumptions!$A$22:$A$32,0))*$C70-Assumptions!$B$5)*MIN(1,$B70/Assumptions!$B$11)</f>
        <v>51.5239764781104</v>
      </c>
      <c r="E70" s="34" t="n">
        <f aca="false">Assumptions!$B$5+(INDEX(Assumptions!$C$22:$C$32,MATCH(YEAR($A70),Assumptions!$A$22:$A$32,0))*$C70-Assumptions!$B$5)*MIN(1,$B70/Assumptions!$B$11)</f>
        <v>79.0034305997693</v>
      </c>
      <c r="F70" s="34" t="n">
        <f aca="false">Assumptions!$B$5+(INDEX(Assumptions!$D$22:$D$32,MATCH(YEAR($A70),Assumptions!$A$22:$A$32,0))*$C70-Assumptions!$B$5)*MIN(1,$B70/Assumptions!$B$11)</f>
        <v>116.78768001705</v>
      </c>
      <c r="G70" s="34" t="n">
        <f aca="false">(Scenarios!$B$7-Scenarios!$B$8)*(1+Assumptions!$B$10)^$B70</f>
        <v>49.5086341243466</v>
      </c>
      <c r="H70" s="34" t="n">
        <f aca="false">D70*100/(Assumptions!$B$7*Assumptions!$B$6)</f>
        <v>24.1848256241125</v>
      </c>
      <c r="I70" s="34" t="n">
        <f aca="false">E70*100/(Assumptions!$B$7*Assumptions!$B$6)</f>
        <v>37.0833992903059</v>
      </c>
      <c r="J70" s="34" t="n">
        <f aca="false">F70*100/(Assumptions!$B$7*Assumptions!$B$6)</f>
        <v>54.8189380813217</v>
      </c>
      <c r="K70" s="34" t="n">
        <f aca="false">(Scenarios!$B$5+Scenarios!C$12*($A70&gt;=Assumptions!$B$14))*(1+Scenarios!C$13)^MAX(0,YEAR($A70)-Assumptions!$B$18+(MONTH($A70)&gt;=4))</f>
        <v>52.95</v>
      </c>
      <c r="L70" s="34" t="n">
        <f aca="false">(Scenarios!$B$5+Scenarios!D$12*($A70&gt;=Assumptions!$B$14))*(1+Scenarios!D$13)^MAX(0,YEAR($A70)-Assumptions!$B$18+(MONTH($A70)&gt;=4))</f>
        <v>64.0908599904374</v>
      </c>
      <c r="M70" s="34" t="n">
        <f aca="false">(Scenarios!$B$5+Scenarios!E$12*($A70&gt;=Assumptions!$B$14))*(1+Scenarios!E$13)^MAX(0,YEAR($A70)-Assumptions!$B$18+(MONTH($A70)&gt;=4))</f>
        <v>64.0908599904374</v>
      </c>
      <c r="N70" s="34" t="n">
        <f aca="false">$G70+H70</f>
        <v>73.6934597484591</v>
      </c>
      <c r="O70" s="34" t="n">
        <f aca="false">$G70+I70</f>
        <v>86.5920334146525</v>
      </c>
      <c r="P70" s="34" t="n">
        <f aca="false">$G70+J70</f>
        <v>104.327572205668</v>
      </c>
    </row>
    <row r="71" customFormat="false" ht="15" hidden="false" customHeight="false" outlineLevel="0" collapsed="false">
      <c r="A71" s="36" t="n">
        <f aca="false">Scenarios!A71</f>
        <v>47818</v>
      </c>
      <c r="B71" s="21" t="n">
        <f aca="false">Scenarios!B71</f>
        <v>4.25</v>
      </c>
      <c r="C71" s="44" t="n">
        <f aca="false">INDEX(Assumptions!$E$22:$E$32,MATCH(YEAR($A71),Assumptions!$A$22:$A$32,0))</f>
        <v>1.14497725506912</v>
      </c>
      <c r="D71" s="34" t="n">
        <f aca="false">Assumptions!$B$5+(INDEX(Assumptions!$B$22:$B$32,MATCH(YEAR($A71),Assumptions!$A$22:$A$32,0))*$C71-Assumptions!$B$5)*MIN(1,$B71/Assumptions!$B$11)</f>
        <v>51.5239764781104</v>
      </c>
      <c r="E71" s="34" t="n">
        <f aca="false">Assumptions!$B$5+(INDEX(Assumptions!$C$22:$C$32,MATCH(YEAR($A71),Assumptions!$A$22:$A$32,0))*$C71-Assumptions!$B$5)*MIN(1,$B71/Assumptions!$B$11)</f>
        <v>79.0034305997693</v>
      </c>
      <c r="F71" s="34" t="n">
        <f aca="false">Assumptions!$B$5+(INDEX(Assumptions!$D$22:$D$32,MATCH(YEAR($A71),Assumptions!$A$22:$A$32,0))*$C71-Assumptions!$B$5)*MIN(1,$B71/Assumptions!$B$11)</f>
        <v>116.78768001705</v>
      </c>
      <c r="G71" s="34" t="n">
        <f aca="false">(Scenarios!$B$7-Scenarios!$B$8)*(1+Assumptions!$B$10)^$B71</f>
        <v>49.59040165875</v>
      </c>
      <c r="H71" s="34" t="n">
        <f aca="false">D71*100/(Assumptions!$B$7*Assumptions!$B$6)</f>
        <v>24.1848256241125</v>
      </c>
      <c r="I71" s="34" t="n">
        <f aca="false">E71*100/(Assumptions!$B$7*Assumptions!$B$6)</f>
        <v>37.0833992903059</v>
      </c>
      <c r="J71" s="34" t="n">
        <f aca="false">F71*100/(Assumptions!$B$7*Assumptions!$B$6)</f>
        <v>54.8189380813217</v>
      </c>
      <c r="K71" s="34" t="n">
        <f aca="false">(Scenarios!$B$5+Scenarios!C$12*($A71&gt;=Assumptions!$B$14))*(1+Scenarios!C$13)^MAX(0,YEAR($A71)-Assumptions!$B$18+(MONTH($A71)&gt;=4))</f>
        <v>52.95</v>
      </c>
      <c r="L71" s="34" t="n">
        <f aca="false">(Scenarios!$B$5+Scenarios!D$12*($A71&gt;=Assumptions!$B$14))*(1+Scenarios!D$13)^MAX(0,YEAR($A71)-Assumptions!$B$18+(MONTH($A71)&gt;=4))</f>
        <v>64.0908599904374</v>
      </c>
      <c r="M71" s="34" t="n">
        <f aca="false">(Scenarios!$B$5+Scenarios!E$12*($A71&gt;=Assumptions!$B$14))*(1+Scenarios!E$13)^MAX(0,YEAR($A71)-Assumptions!$B$18+(MONTH($A71)&gt;=4))</f>
        <v>64.0908599904374</v>
      </c>
      <c r="N71" s="34" t="n">
        <f aca="false">$G71+H71</f>
        <v>73.7752272828625</v>
      </c>
      <c r="O71" s="34" t="n">
        <f aca="false">$G71+I71</f>
        <v>86.6738009490559</v>
      </c>
      <c r="P71" s="34" t="n">
        <f aca="false">$G71+J71</f>
        <v>104.409339740072</v>
      </c>
    </row>
    <row r="72" customFormat="false" ht="15" hidden="false" customHeight="false" outlineLevel="0" collapsed="false">
      <c r="A72" s="36" t="n">
        <f aca="false">Scenarios!A72</f>
        <v>47849</v>
      </c>
      <c r="B72" s="21" t="n">
        <f aca="false">Scenarios!B72</f>
        <v>4.33333333333333</v>
      </c>
      <c r="C72" s="44" t="n">
        <f aca="false">INDEX(Assumptions!$E$22:$E$32,MATCH(YEAR($A72),Assumptions!$A$22:$A$32,0))</f>
        <v>1.1678768001705</v>
      </c>
      <c r="D72" s="34" t="n">
        <f aca="false">Assumptions!$B$5+(INDEX(Assumptions!$B$22:$B$32,MATCH(YEAR($A72),Assumptions!$A$22:$A$32,0))*$C72-Assumptions!$B$5)*MIN(1,$B72/Assumptions!$B$11)</f>
        <v>53.7223328078431</v>
      </c>
      <c r="E72" s="34" t="n">
        <f aca="false">Assumptions!$B$5+(INDEX(Assumptions!$C$22:$C$32,MATCH(YEAR($A72),Assumptions!$A$22:$A$32,0))*$C72-Assumptions!$B$5)*MIN(1,$B72/Assumptions!$B$11)</f>
        <v>82.9192528121057</v>
      </c>
      <c r="F72" s="34" t="n">
        <f aca="false">Assumptions!$B$5+(INDEX(Assumptions!$D$22:$D$32,MATCH(YEAR($A72),Assumptions!$A$22:$A$32,0))*$C72-Assumptions!$B$5)*MIN(1,$B72/Assumptions!$B$11)</f>
        <v>120.291310417562</v>
      </c>
      <c r="G72" s="34" t="n">
        <f aca="false">(Scenarios!$B$7-Scenarios!$B$8)*(1+Assumptions!$B$10)^$B72</f>
        <v>49.6723042388843</v>
      </c>
      <c r="H72" s="34" t="n">
        <f aca="false">D72*100/(Assumptions!$B$7*Assumptions!$B$6)</f>
        <v>25.216711517408</v>
      </c>
      <c r="I72" s="34" t="n">
        <f aca="false">E72*100/(Assumptions!$B$7*Assumptions!$B$6)</f>
        <v>38.9214460377384</v>
      </c>
      <c r="J72" s="34" t="n">
        <f aca="false">F72*100/(Assumptions!$B$7*Assumptions!$B$6)</f>
        <v>56.4635062237613</v>
      </c>
      <c r="K72" s="34" t="n">
        <f aca="false">(Scenarios!$B$5+Scenarios!C$12*($A72&gt;=Assumptions!$B$14))*(1+Scenarios!C$13)^MAX(0,YEAR($A72)-Assumptions!$B$18+(MONTH($A72)&gt;=4))</f>
        <v>52.95</v>
      </c>
      <c r="L72" s="34" t="n">
        <f aca="false">(Scenarios!$B$5+Scenarios!D$12*($A72&gt;=Assumptions!$B$14))*(1+Scenarios!D$13)^MAX(0,YEAR($A72)-Assumptions!$B$18+(MONTH($A72)&gt;=4))</f>
        <v>64.0908599904374</v>
      </c>
      <c r="M72" s="34" t="n">
        <f aca="false">(Scenarios!$B$5+Scenarios!E$12*($A72&gt;=Assumptions!$B$14))*(1+Scenarios!E$13)^MAX(0,YEAR($A72)-Assumptions!$B$18+(MONTH($A72)&gt;=4))</f>
        <v>64.0908599904374</v>
      </c>
      <c r="N72" s="34" t="n">
        <f aca="false">$G72+H72</f>
        <v>74.8890157562923</v>
      </c>
      <c r="O72" s="34" t="n">
        <f aca="false">$G72+I72</f>
        <v>88.5937502766227</v>
      </c>
      <c r="P72" s="34" t="n">
        <f aca="false">$G72+J72</f>
        <v>106.135810462646</v>
      </c>
    </row>
    <row r="73" customFormat="false" ht="15" hidden="false" customHeight="false" outlineLevel="0" collapsed="false">
      <c r="A73" s="36" t="n">
        <f aca="false">Scenarios!A73</f>
        <v>47880</v>
      </c>
      <c r="B73" s="21" t="n">
        <f aca="false">Scenarios!B73</f>
        <v>4.41666666666667</v>
      </c>
      <c r="C73" s="44" t="n">
        <f aca="false">INDEX(Assumptions!$E$22:$E$32,MATCH(YEAR($A73),Assumptions!$A$22:$A$32,0))</f>
        <v>1.1678768001705</v>
      </c>
      <c r="D73" s="34" t="n">
        <f aca="false">Assumptions!$B$5+(INDEX(Assumptions!$B$22:$B$32,MATCH(YEAR($A73),Assumptions!$A$22:$A$32,0))*$C73-Assumptions!$B$5)*MIN(1,$B73/Assumptions!$B$11)</f>
        <v>53.7223328078431</v>
      </c>
      <c r="E73" s="34" t="n">
        <f aca="false">Assumptions!$B$5+(INDEX(Assumptions!$C$22:$C$32,MATCH(YEAR($A73),Assumptions!$A$22:$A$32,0))*$C73-Assumptions!$B$5)*MIN(1,$B73/Assumptions!$B$11)</f>
        <v>82.9192528121057</v>
      </c>
      <c r="F73" s="34" t="n">
        <f aca="false">Assumptions!$B$5+(INDEX(Assumptions!$D$22:$D$32,MATCH(YEAR($A73),Assumptions!$A$22:$A$32,0))*$C73-Assumptions!$B$5)*MIN(1,$B73/Assumptions!$B$11)</f>
        <v>120.291310417562</v>
      </c>
      <c r="G73" s="34" t="n">
        <f aca="false">(Scenarios!$B$7-Scenarios!$B$8)*(1+Assumptions!$B$10)^$B73</f>
        <v>49.7543420877885</v>
      </c>
      <c r="H73" s="34" t="n">
        <f aca="false">D73*100/(Assumptions!$B$7*Assumptions!$B$6)</f>
        <v>25.216711517408</v>
      </c>
      <c r="I73" s="34" t="n">
        <f aca="false">E73*100/(Assumptions!$B$7*Assumptions!$B$6)</f>
        <v>38.9214460377384</v>
      </c>
      <c r="J73" s="34" t="n">
        <f aca="false">F73*100/(Assumptions!$B$7*Assumptions!$B$6)</f>
        <v>56.4635062237613</v>
      </c>
      <c r="K73" s="34" t="n">
        <f aca="false">(Scenarios!$B$5+Scenarios!C$12*($A73&gt;=Assumptions!$B$14))*(1+Scenarios!C$13)^MAX(0,YEAR($A73)-Assumptions!$B$18+(MONTH($A73)&gt;=4))</f>
        <v>52.95</v>
      </c>
      <c r="L73" s="34" t="n">
        <f aca="false">(Scenarios!$B$5+Scenarios!D$12*($A73&gt;=Assumptions!$B$14))*(1+Scenarios!D$13)^MAX(0,YEAR($A73)-Assumptions!$B$18+(MONTH($A73)&gt;=4))</f>
        <v>64.0908599904374</v>
      </c>
      <c r="M73" s="34" t="n">
        <f aca="false">(Scenarios!$B$5+Scenarios!E$12*($A73&gt;=Assumptions!$B$14))*(1+Scenarios!E$13)^MAX(0,YEAR($A73)-Assumptions!$B$18+(MONTH($A73)&gt;=4))</f>
        <v>64.0908599904374</v>
      </c>
      <c r="N73" s="34" t="n">
        <f aca="false">$G73+H73</f>
        <v>74.9710536051965</v>
      </c>
      <c r="O73" s="34" t="n">
        <f aca="false">$G73+I73</f>
        <v>88.6757881255269</v>
      </c>
      <c r="P73" s="34" t="n">
        <f aca="false">$G73+J73</f>
        <v>106.21784831155</v>
      </c>
    </row>
    <row r="74" customFormat="false" ht="15" hidden="false" customHeight="false" outlineLevel="0" collapsed="false">
      <c r="A74" s="36" t="n">
        <f aca="false">Scenarios!A74</f>
        <v>47908</v>
      </c>
      <c r="B74" s="21" t="n">
        <f aca="false">Scenarios!B74</f>
        <v>4.5</v>
      </c>
      <c r="C74" s="44" t="n">
        <f aca="false">INDEX(Assumptions!$E$22:$E$32,MATCH(YEAR($A74),Assumptions!$A$22:$A$32,0))</f>
        <v>1.1678768001705</v>
      </c>
      <c r="D74" s="34" t="n">
        <f aca="false">Assumptions!$B$5+(INDEX(Assumptions!$B$22:$B$32,MATCH(YEAR($A74),Assumptions!$A$22:$A$32,0))*$C74-Assumptions!$B$5)*MIN(1,$B74/Assumptions!$B$11)</f>
        <v>53.7223328078431</v>
      </c>
      <c r="E74" s="34" t="n">
        <f aca="false">Assumptions!$B$5+(INDEX(Assumptions!$C$22:$C$32,MATCH(YEAR($A74),Assumptions!$A$22:$A$32,0))*$C74-Assumptions!$B$5)*MIN(1,$B74/Assumptions!$B$11)</f>
        <v>82.9192528121057</v>
      </c>
      <c r="F74" s="34" t="n">
        <f aca="false">Assumptions!$B$5+(INDEX(Assumptions!$D$22:$D$32,MATCH(YEAR($A74),Assumptions!$A$22:$A$32,0))*$C74-Assumptions!$B$5)*MIN(1,$B74/Assumptions!$B$11)</f>
        <v>120.291310417562</v>
      </c>
      <c r="G74" s="34" t="n">
        <f aca="false">(Scenarios!$B$7-Scenarios!$B$8)*(1+Assumptions!$B$10)^$B74</f>
        <v>49.8365154288701</v>
      </c>
      <c r="H74" s="34" t="n">
        <f aca="false">D74*100/(Assumptions!$B$7*Assumptions!$B$6)</f>
        <v>25.216711517408</v>
      </c>
      <c r="I74" s="34" t="n">
        <f aca="false">E74*100/(Assumptions!$B$7*Assumptions!$B$6)</f>
        <v>38.9214460377384</v>
      </c>
      <c r="J74" s="34" t="n">
        <f aca="false">F74*100/(Assumptions!$B$7*Assumptions!$B$6)</f>
        <v>56.4635062237613</v>
      </c>
      <c r="K74" s="34" t="n">
        <f aca="false">(Scenarios!$B$5+Scenarios!C$12*($A74&gt;=Assumptions!$B$14))*(1+Scenarios!C$13)^MAX(0,YEAR($A74)-Assumptions!$B$18+(MONTH($A74)&gt;=4))</f>
        <v>52.95</v>
      </c>
      <c r="L74" s="34" t="n">
        <f aca="false">(Scenarios!$B$5+Scenarios!D$12*($A74&gt;=Assumptions!$B$14))*(1+Scenarios!D$13)^MAX(0,YEAR($A74)-Assumptions!$B$18+(MONTH($A74)&gt;=4))</f>
        <v>64.0908599904374</v>
      </c>
      <c r="M74" s="34" t="n">
        <f aca="false">(Scenarios!$B$5+Scenarios!E$12*($A74&gt;=Assumptions!$B$14))*(1+Scenarios!E$13)^MAX(0,YEAR($A74)-Assumptions!$B$18+(MONTH($A74)&gt;=4))</f>
        <v>64.0908599904374</v>
      </c>
      <c r="N74" s="34" t="n">
        <f aca="false">$G74+H74</f>
        <v>75.053226946278</v>
      </c>
      <c r="O74" s="34" t="n">
        <f aca="false">$G74+I74</f>
        <v>88.7579614666085</v>
      </c>
      <c r="P74" s="34" t="n">
        <f aca="false">$G74+J74</f>
        <v>106.300021652631</v>
      </c>
    </row>
    <row r="75" customFormat="false" ht="15" hidden="false" customHeight="false" outlineLevel="0" collapsed="false">
      <c r="A75" s="36" t="n">
        <f aca="false">Scenarios!A75</f>
        <v>47939</v>
      </c>
      <c r="B75" s="21" t="n">
        <f aca="false">Scenarios!B75</f>
        <v>4.58333333333333</v>
      </c>
      <c r="C75" s="44" t="n">
        <f aca="false">INDEX(Assumptions!$E$22:$E$32,MATCH(YEAR($A75),Assumptions!$A$22:$A$32,0))</f>
        <v>1.1678768001705</v>
      </c>
      <c r="D75" s="34" t="n">
        <f aca="false">Assumptions!$B$5+(INDEX(Assumptions!$B$22:$B$32,MATCH(YEAR($A75),Assumptions!$A$22:$A$32,0))*$C75-Assumptions!$B$5)*MIN(1,$B75/Assumptions!$B$11)</f>
        <v>53.7223328078431</v>
      </c>
      <c r="E75" s="34" t="n">
        <f aca="false">Assumptions!$B$5+(INDEX(Assumptions!$C$22:$C$32,MATCH(YEAR($A75),Assumptions!$A$22:$A$32,0))*$C75-Assumptions!$B$5)*MIN(1,$B75/Assumptions!$B$11)</f>
        <v>82.9192528121057</v>
      </c>
      <c r="F75" s="34" t="n">
        <f aca="false">Assumptions!$B$5+(INDEX(Assumptions!$D$22:$D$32,MATCH(YEAR($A75),Assumptions!$A$22:$A$32,0))*$C75-Assumptions!$B$5)*MIN(1,$B75/Assumptions!$B$11)</f>
        <v>120.291310417562</v>
      </c>
      <c r="G75" s="34" t="n">
        <f aca="false">(Scenarios!$B$7-Scenarios!$B$8)*(1+Assumptions!$B$10)^$B75</f>
        <v>49.9188244859052</v>
      </c>
      <c r="H75" s="34" t="n">
        <f aca="false">D75*100/(Assumptions!$B$7*Assumptions!$B$6)</f>
        <v>25.216711517408</v>
      </c>
      <c r="I75" s="34" t="n">
        <f aca="false">E75*100/(Assumptions!$B$7*Assumptions!$B$6)</f>
        <v>38.9214460377384</v>
      </c>
      <c r="J75" s="34" t="n">
        <f aca="false">F75*100/(Assumptions!$B$7*Assumptions!$B$6)</f>
        <v>56.4635062237613</v>
      </c>
      <c r="K75" s="34" t="n">
        <f aca="false">(Scenarios!$B$5+Scenarios!C$12*($A75&gt;=Assumptions!$B$14))*(1+Scenarios!C$13)^MAX(0,YEAR($A75)-Assumptions!$B$18+(MONTH($A75)&gt;=4))</f>
        <v>52.95</v>
      </c>
      <c r="L75" s="34" t="n">
        <f aca="false">(Scenarios!$B$5+Scenarios!D$12*($A75&gt;=Assumptions!$B$14))*(1+Scenarios!D$13)^MAX(0,YEAR($A75)-Assumptions!$B$18+(MONTH($A75)&gt;=4))</f>
        <v>65.7251769201936</v>
      </c>
      <c r="M75" s="34" t="n">
        <f aca="false">(Scenarios!$B$5+Scenarios!E$12*($A75&gt;=Assumptions!$B$14))*(1+Scenarios!E$13)^MAX(0,YEAR($A75)-Assumptions!$B$18+(MONTH($A75)&gt;=4))</f>
        <v>65.7251769201936</v>
      </c>
      <c r="N75" s="34" t="n">
        <f aca="false">$G75+H75</f>
        <v>75.1355360033132</v>
      </c>
      <c r="O75" s="34" t="n">
        <f aca="false">$G75+I75</f>
        <v>88.8402705236436</v>
      </c>
      <c r="P75" s="34" t="n">
        <f aca="false">$G75+J75</f>
        <v>106.382330709667</v>
      </c>
    </row>
    <row r="76" customFormat="false" ht="15" hidden="false" customHeight="false" outlineLevel="0" collapsed="false">
      <c r="A76" s="36" t="n">
        <f aca="false">Scenarios!A76</f>
        <v>47969</v>
      </c>
      <c r="B76" s="21" t="n">
        <f aca="false">Scenarios!B76</f>
        <v>4.66666666666667</v>
      </c>
      <c r="C76" s="44" t="n">
        <f aca="false">INDEX(Assumptions!$E$22:$E$32,MATCH(YEAR($A76),Assumptions!$A$22:$A$32,0))</f>
        <v>1.1678768001705</v>
      </c>
      <c r="D76" s="34" t="n">
        <f aca="false">Assumptions!$B$5+(INDEX(Assumptions!$B$22:$B$32,MATCH(YEAR($A76),Assumptions!$A$22:$A$32,0))*$C76-Assumptions!$B$5)*MIN(1,$B76/Assumptions!$B$11)</f>
        <v>53.7223328078431</v>
      </c>
      <c r="E76" s="34" t="n">
        <f aca="false">Assumptions!$B$5+(INDEX(Assumptions!$C$22:$C$32,MATCH(YEAR($A76),Assumptions!$A$22:$A$32,0))*$C76-Assumptions!$B$5)*MIN(1,$B76/Assumptions!$B$11)</f>
        <v>82.9192528121057</v>
      </c>
      <c r="F76" s="34" t="n">
        <f aca="false">Assumptions!$B$5+(INDEX(Assumptions!$D$22:$D$32,MATCH(YEAR($A76),Assumptions!$A$22:$A$32,0))*$C76-Assumptions!$B$5)*MIN(1,$B76/Assumptions!$B$11)</f>
        <v>120.291310417562</v>
      </c>
      <c r="G76" s="34" t="n">
        <f aca="false">(Scenarios!$B$7-Scenarios!$B$8)*(1+Assumptions!$B$10)^$B76</f>
        <v>50.00126948304</v>
      </c>
      <c r="H76" s="34" t="n">
        <f aca="false">D76*100/(Assumptions!$B$7*Assumptions!$B$6)</f>
        <v>25.216711517408</v>
      </c>
      <c r="I76" s="34" t="n">
        <f aca="false">E76*100/(Assumptions!$B$7*Assumptions!$B$6)</f>
        <v>38.9214460377384</v>
      </c>
      <c r="J76" s="34" t="n">
        <f aca="false">F76*100/(Assumptions!$B$7*Assumptions!$B$6)</f>
        <v>56.4635062237613</v>
      </c>
      <c r="K76" s="34" t="n">
        <f aca="false">(Scenarios!$B$5+Scenarios!C$12*($A76&gt;=Assumptions!$B$14))*(1+Scenarios!C$13)^MAX(0,YEAR($A76)-Assumptions!$B$18+(MONTH($A76)&gt;=4))</f>
        <v>52.95</v>
      </c>
      <c r="L76" s="34" t="n">
        <f aca="false">(Scenarios!$B$5+Scenarios!D$12*($A76&gt;=Assumptions!$B$14))*(1+Scenarios!D$13)^MAX(0,YEAR($A76)-Assumptions!$B$18+(MONTH($A76)&gt;=4))</f>
        <v>65.7251769201936</v>
      </c>
      <c r="M76" s="34" t="n">
        <f aca="false">(Scenarios!$B$5+Scenarios!E$12*($A76&gt;=Assumptions!$B$14))*(1+Scenarios!E$13)^MAX(0,YEAR($A76)-Assumptions!$B$18+(MONTH($A76)&gt;=4))</f>
        <v>65.7251769201936</v>
      </c>
      <c r="N76" s="34" t="n">
        <f aca="false">$G76+H76</f>
        <v>75.217981000448</v>
      </c>
      <c r="O76" s="34" t="n">
        <f aca="false">$G76+I76</f>
        <v>88.9227155207784</v>
      </c>
      <c r="P76" s="34" t="n">
        <f aca="false">$G76+J76</f>
        <v>106.464775706801</v>
      </c>
    </row>
    <row r="77" customFormat="false" ht="15" hidden="false" customHeight="false" outlineLevel="0" collapsed="false">
      <c r="A77" s="36" t="n">
        <f aca="false">Scenarios!A77</f>
        <v>48000</v>
      </c>
      <c r="B77" s="21" t="n">
        <f aca="false">Scenarios!B77</f>
        <v>4.75</v>
      </c>
      <c r="C77" s="44" t="n">
        <f aca="false">INDEX(Assumptions!$E$22:$E$32,MATCH(YEAR($A77),Assumptions!$A$22:$A$32,0))</f>
        <v>1.1678768001705</v>
      </c>
      <c r="D77" s="34" t="n">
        <f aca="false">Assumptions!$B$5+(INDEX(Assumptions!$B$22:$B$32,MATCH(YEAR($A77),Assumptions!$A$22:$A$32,0))*$C77-Assumptions!$B$5)*MIN(1,$B77/Assumptions!$B$11)</f>
        <v>53.7223328078431</v>
      </c>
      <c r="E77" s="34" t="n">
        <f aca="false">Assumptions!$B$5+(INDEX(Assumptions!$C$22:$C$32,MATCH(YEAR($A77),Assumptions!$A$22:$A$32,0))*$C77-Assumptions!$B$5)*MIN(1,$B77/Assumptions!$B$11)</f>
        <v>82.9192528121057</v>
      </c>
      <c r="F77" s="34" t="n">
        <f aca="false">Assumptions!$B$5+(INDEX(Assumptions!$D$22:$D$32,MATCH(YEAR($A77),Assumptions!$A$22:$A$32,0))*$C77-Assumptions!$B$5)*MIN(1,$B77/Assumptions!$B$11)</f>
        <v>120.291310417562</v>
      </c>
      <c r="G77" s="34" t="n">
        <f aca="false">(Scenarios!$B$7-Scenarios!$B$8)*(1+Assumptions!$B$10)^$B77</f>
        <v>50.0838506447905</v>
      </c>
      <c r="H77" s="34" t="n">
        <f aca="false">D77*100/(Assumptions!$B$7*Assumptions!$B$6)</f>
        <v>25.216711517408</v>
      </c>
      <c r="I77" s="34" t="n">
        <f aca="false">E77*100/(Assumptions!$B$7*Assumptions!$B$6)</f>
        <v>38.9214460377384</v>
      </c>
      <c r="J77" s="34" t="n">
        <f aca="false">F77*100/(Assumptions!$B$7*Assumptions!$B$6)</f>
        <v>56.4635062237613</v>
      </c>
      <c r="K77" s="34" t="n">
        <f aca="false">(Scenarios!$B$5+Scenarios!C$12*($A77&gt;=Assumptions!$B$14))*(1+Scenarios!C$13)^MAX(0,YEAR($A77)-Assumptions!$B$18+(MONTH($A77)&gt;=4))</f>
        <v>52.95</v>
      </c>
      <c r="L77" s="34" t="n">
        <f aca="false">(Scenarios!$B$5+Scenarios!D$12*($A77&gt;=Assumptions!$B$14))*(1+Scenarios!D$13)^MAX(0,YEAR($A77)-Assumptions!$B$18+(MONTH($A77)&gt;=4))</f>
        <v>65.7251769201936</v>
      </c>
      <c r="M77" s="34" t="n">
        <f aca="false">(Scenarios!$B$5+Scenarios!E$12*($A77&gt;=Assumptions!$B$14))*(1+Scenarios!E$13)^MAX(0,YEAR($A77)-Assumptions!$B$18+(MONTH($A77)&gt;=4))</f>
        <v>65.7251769201936</v>
      </c>
      <c r="N77" s="34" t="n">
        <f aca="false">$G77+H77</f>
        <v>75.3005621621984</v>
      </c>
      <c r="O77" s="34" t="n">
        <f aca="false">$G77+I77</f>
        <v>89.0052966825289</v>
      </c>
      <c r="P77" s="34" t="n">
        <f aca="false">$G77+J77</f>
        <v>106.547356868552</v>
      </c>
    </row>
    <row r="78" customFormat="false" ht="15" hidden="false" customHeight="false" outlineLevel="0" collapsed="false">
      <c r="A78" s="36" t="n">
        <f aca="false">Scenarios!A78</f>
        <v>48030</v>
      </c>
      <c r="B78" s="21" t="n">
        <f aca="false">Scenarios!B78</f>
        <v>4.83333333333333</v>
      </c>
      <c r="C78" s="44" t="n">
        <f aca="false">INDEX(Assumptions!$E$22:$E$32,MATCH(YEAR($A78),Assumptions!$A$22:$A$32,0))</f>
        <v>1.1678768001705</v>
      </c>
      <c r="D78" s="34" t="n">
        <f aca="false">Assumptions!$B$5+(INDEX(Assumptions!$B$22:$B$32,MATCH(YEAR($A78),Assumptions!$A$22:$A$32,0))*$C78-Assumptions!$B$5)*MIN(1,$B78/Assumptions!$B$11)</f>
        <v>53.7223328078431</v>
      </c>
      <c r="E78" s="34" t="n">
        <f aca="false">Assumptions!$B$5+(INDEX(Assumptions!$C$22:$C$32,MATCH(YEAR($A78),Assumptions!$A$22:$A$32,0))*$C78-Assumptions!$B$5)*MIN(1,$B78/Assumptions!$B$11)</f>
        <v>82.9192528121057</v>
      </c>
      <c r="F78" s="34" t="n">
        <f aca="false">Assumptions!$B$5+(INDEX(Assumptions!$D$22:$D$32,MATCH(YEAR($A78),Assumptions!$A$22:$A$32,0))*$C78-Assumptions!$B$5)*MIN(1,$B78/Assumptions!$B$11)</f>
        <v>120.291310417562</v>
      </c>
      <c r="G78" s="34" t="n">
        <f aca="false">(Scenarios!$B$7-Scenarios!$B$8)*(1+Assumptions!$B$10)^$B78</f>
        <v>50.1665681960436</v>
      </c>
      <c r="H78" s="34" t="n">
        <f aca="false">D78*100/(Assumptions!$B$7*Assumptions!$B$6)</f>
        <v>25.216711517408</v>
      </c>
      <c r="I78" s="34" t="n">
        <f aca="false">E78*100/(Assumptions!$B$7*Assumptions!$B$6)</f>
        <v>38.9214460377384</v>
      </c>
      <c r="J78" s="34" t="n">
        <f aca="false">F78*100/(Assumptions!$B$7*Assumptions!$B$6)</f>
        <v>56.4635062237613</v>
      </c>
      <c r="K78" s="34" t="n">
        <f aca="false">(Scenarios!$B$5+Scenarios!C$12*($A78&gt;=Assumptions!$B$14))*(1+Scenarios!C$13)^MAX(0,YEAR($A78)-Assumptions!$B$18+(MONTH($A78)&gt;=4))</f>
        <v>52.95</v>
      </c>
      <c r="L78" s="34" t="n">
        <f aca="false">(Scenarios!$B$5+Scenarios!D$12*($A78&gt;=Assumptions!$B$14))*(1+Scenarios!D$13)^MAX(0,YEAR($A78)-Assumptions!$B$18+(MONTH($A78)&gt;=4))</f>
        <v>65.7251769201936</v>
      </c>
      <c r="M78" s="34" t="n">
        <f aca="false">(Scenarios!$B$5+Scenarios!E$12*($A78&gt;=Assumptions!$B$14))*(1+Scenarios!E$13)^MAX(0,YEAR($A78)-Assumptions!$B$18+(MONTH($A78)&gt;=4))</f>
        <v>65.7251769201936</v>
      </c>
      <c r="N78" s="34" t="n">
        <f aca="false">$G78+H78</f>
        <v>75.3832797134515</v>
      </c>
      <c r="O78" s="34" t="n">
        <f aca="false">$G78+I78</f>
        <v>89.088014233782</v>
      </c>
      <c r="P78" s="34" t="n">
        <f aca="false">$G78+J78</f>
        <v>106.630074419805</v>
      </c>
    </row>
    <row r="79" customFormat="false" ht="15" hidden="false" customHeight="false" outlineLevel="0" collapsed="false">
      <c r="A79" s="36" t="n">
        <f aca="false">Scenarios!A79</f>
        <v>48061</v>
      </c>
      <c r="B79" s="21" t="n">
        <f aca="false">Scenarios!B79</f>
        <v>4.91666666666667</v>
      </c>
      <c r="C79" s="44" t="n">
        <f aca="false">INDEX(Assumptions!$E$22:$E$32,MATCH(YEAR($A79),Assumptions!$A$22:$A$32,0))</f>
        <v>1.1678768001705</v>
      </c>
      <c r="D79" s="34" t="n">
        <f aca="false">Assumptions!$B$5+(INDEX(Assumptions!$B$22:$B$32,MATCH(YEAR($A79),Assumptions!$A$22:$A$32,0))*$C79-Assumptions!$B$5)*MIN(1,$B79/Assumptions!$B$11)</f>
        <v>53.7223328078431</v>
      </c>
      <c r="E79" s="34" t="n">
        <f aca="false">Assumptions!$B$5+(INDEX(Assumptions!$C$22:$C$32,MATCH(YEAR($A79),Assumptions!$A$22:$A$32,0))*$C79-Assumptions!$B$5)*MIN(1,$B79/Assumptions!$B$11)</f>
        <v>82.9192528121057</v>
      </c>
      <c r="F79" s="34" t="n">
        <f aca="false">Assumptions!$B$5+(INDEX(Assumptions!$D$22:$D$32,MATCH(YEAR($A79),Assumptions!$A$22:$A$32,0))*$C79-Assumptions!$B$5)*MIN(1,$B79/Assumptions!$B$11)</f>
        <v>120.291310417562</v>
      </c>
      <c r="G79" s="34" t="n">
        <f aca="false">(Scenarios!$B$7-Scenarios!$B$8)*(1+Assumptions!$B$10)^$B79</f>
        <v>50.2494223620576</v>
      </c>
      <c r="H79" s="34" t="n">
        <f aca="false">D79*100/(Assumptions!$B$7*Assumptions!$B$6)</f>
        <v>25.216711517408</v>
      </c>
      <c r="I79" s="34" t="n">
        <f aca="false">E79*100/(Assumptions!$B$7*Assumptions!$B$6)</f>
        <v>38.9214460377384</v>
      </c>
      <c r="J79" s="34" t="n">
        <f aca="false">F79*100/(Assumptions!$B$7*Assumptions!$B$6)</f>
        <v>56.4635062237613</v>
      </c>
      <c r="K79" s="34" t="n">
        <f aca="false">(Scenarios!$B$5+Scenarios!C$12*($A79&gt;=Assumptions!$B$14))*(1+Scenarios!C$13)^MAX(0,YEAR($A79)-Assumptions!$B$18+(MONTH($A79)&gt;=4))</f>
        <v>52.95</v>
      </c>
      <c r="L79" s="34" t="n">
        <f aca="false">(Scenarios!$B$5+Scenarios!D$12*($A79&gt;=Assumptions!$B$14))*(1+Scenarios!D$13)^MAX(0,YEAR($A79)-Assumptions!$B$18+(MONTH($A79)&gt;=4))</f>
        <v>65.7251769201936</v>
      </c>
      <c r="M79" s="34" t="n">
        <f aca="false">(Scenarios!$B$5+Scenarios!E$12*($A79&gt;=Assumptions!$B$14))*(1+Scenarios!E$13)^MAX(0,YEAR($A79)-Assumptions!$B$18+(MONTH($A79)&gt;=4))</f>
        <v>65.7251769201936</v>
      </c>
      <c r="N79" s="34" t="n">
        <f aca="false">$G79+H79</f>
        <v>75.4661338794656</v>
      </c>
      <c r="O79" s="34" t="n">
        <f aca="false">$G79+I79</f>
        <v>89.170868399796</v>
      </c>
      <c r="P79" s="34" t="n">
        <f aca="false">$G79+J79</f>
        <v>106.712928585819</v>
      </c>
    </row>
    <row r="80" customFormat="false" ht="15" hidden="false" customHeight="false" outlineLevel="0" collapsed="false">
      <c r="A80" s="36" t="n">
        <f aca="false">Scenarios!A80</f>
        <v>48092</v>
      </c>
      <c r="B80" s="21" t="n">
        <f aca="false">Scenarios!B80</f>
        <v>5</v>
      </c>
      <c r="C80" s="44" t="n">
        <f aca="false">INDEX(Assumptions!$E$22:$E$32,MATCH(YEAR($A80),Assumptions!$A$22:$A$32,0))</f>
        <v>1.1678768001705</v>
      </c>
      <c r="D80" s="34" t="n">
        <f aca="false">Assumptions!$B$5+(INDEX(Assumptions!$B$22:$B$32,MATCH(YEAR($A80),Assumptions!$A$22:$A$32,0))*$C80-Assumptions!$B$5)*MIN(1,$B80/Assumptions!$B$11)</f>
        <v>53.7223328078431</v>
      </c>
      <c r="E80" s="34" t="n">
        <f aca="false">Assumptions!$B$5+(INDEX(Assumptions!$C$22:$C$32,MATCH(YEAR($A80),Assumptions!$A$22:$A$32,0))*$C80-Assumptions!$B$5)*MIN(1,$B80/Assumptions!$B$11)</f>
        <v>82.9192528121057</v>
      </c>
      <c r="F80" s="34" t="n">
        <f aca="false">Assumptions!$B$5+(INDEX(Assumptions!$D$22:$D$32,MATCH(YEAR($A80),Assumptions!$A$22:$A$32,0))*$C80-Assumptions!$B$5)*MIN(1,$B80/Assumptions!$B$11)</f>
        <v>120.291310417562</v>
      </c>
      <c r="G80" s="34" t="n">
        <f aca="false">(Scenarios!$B$7-Scenarios!$B$8)*(1+Assumptions!$B$10)^$B80</f>
        <v>50.3324133684631</v>
      </c>
      <c r="H80" s="34" t="n">
        <f aca="false">D80*100/(Assumptions!$B$7*Assumptions!$B$6)</f>
        <v>25.216711517408</v>
      </c>
      <c r="I80" s="34" t="n">
        <f aca="false">E80*100/(Assumptions!$B$7*Assumptions!$B$6)</f>
        <v>38.9214460377384</v>
      </c>
      <c r="J80" s="34" t="n">
        <f aca="false">F80*100/(Assumptions!$B$7*Assumptions!$B$6)</f>
        <v>56.4635062237613</v>
      </c>
      <c r="K80" s="34" t="n">
        <f aca="false">(Scenarios!$B$5+Scenarios!C$12*($A80&gt;=Assumptions!$B$14))*(1+Scenarios!C$13)^MAX(0,YEAR($A80)-Assumptions!$B$18+(MONTH($A80)&gt;=4))</f>
        <v>52.95</v>
      </c>
      <c r="L80" s="34" t="n">
        <f aca="false">(Scenarios!$B$5+Scenarios!D$12*($A80&gt;=Assumptions!$B$14))*(1+Scenarios!D$13)^MAX(0,YEAR($A80)-Assumptions!$B$18+(MONTH($A80)&gt;=4))</f>
        <v>65.7251769201936</v>
      </c>
      <c r="M80" s="34" t="n">
        <f aca="false">(Scenarios!$B$5+Scenarios!E$12*($A80&gt;=Assumptions!$B$14))*(1+Scenarios!E$13)^MAX(0,YEAR($A80)-Assumptions!$B$18+(MONTH($A80)&gt;=4))</f>
        <v>65.7251769201936</v>
      </c>
      <c r="N80" s="34" t="n">
        <f aca="false">$G80+H80</f>
        <v>75.5491248858711</v>
      </c>
      <c r="O80" s="34" t="n">
        <f aca="false">$G80+I80</f>
        <v>89.2538594062015</v>
      </c>
      <c r="P80" s="34" t="n">
        <f aca="false">$G80+J80</f>
        <v>106.795919592224</v>
      </c>
    </row>
    <row r="81" customFormat="false" ht="15" hidden="false" customHeight="false" outlineLevel="0" collapsed="false">
      <c r="A81" s="36" t="n">
        <f aca="false">Scenarios!A81</f>
        <v>48122</v>
      </c>
      <c r="B81" s="21" t="n">
        <f aca="false">Scenarios!B81</f>
        <v>5.08333333333333</v>
      </c>
      <c r="C81" s="44" t="n">
        <f aca="false">INDEX(Assumptions!$E$22:$E$32,MATCH(YEAR($A81),Assumptions!$A$22:$A$32,0))</f>
        <v>1.1678768001705</v>
      </c>
      <c r="D81" s="34" t="n">
        <f aca="false">Assumptions!$B$5+(INDEX(Assumptions!$B$22:$B$32,MATCH(YEAR($A81),Assumptions!$A$22:$A$32,0))*$C81-Assumptions!$B$5)*MIN(1,$B81/Assumptions!$B$11)</f>
        <v>53.7223328078431</v>
      </c>
      <c r="E81" s="34" t="n">
        <f aca="false">Assumptions!$B$5+(INDEX(Assumptions!$C$22:$C$32,MATCH(YEAR($A81),Assumptions!$A$22:$A$32,0))*$C81-Assumptions!$B$5)*MIN(1,$B81/Assumptions!$B$11)</f>
        <v>82.9192528121057</v>
      </c>
      <c r="F81" s="34" t="n">
        <f aca="false">Assumptions!$B$5+(INDEX(Assumptions!$D$22:$D$32,MATCH(YEAR($A81),Assumptions!$A$22:$A$32,0))*$C81-Assumptions!$B$5)*MIN(1,$B81/Assumptions!$B$11)</f>
        <v>120.291310417562</v>
      </c>
      <c r="G81" s="34" t="n">
        <f aca="false">(Scenarios!$B$7-Scenarios!$B$8)*(1+Assumptions!$B$10)^$B81</f>
        <v>50.415541441263</v>
      </c>
      <c r="H81" s="34" t="n">
        <f aca="false">D81*100/(Assumptions!$B$7*Assumptions!$B$6)</f>
        <v>25.216711517408</v>
      </c>
      <c r="I81" s="34" t="n">
        <f aca="false">E81*100/(Assumptions!$B$7*Assumptions!$B$6)</f>
        <v>38.9214460377384</v>
      </c>
      <c r="J81" s="34" t="n">
        <f aca="false">F81*100/(Assumptions!$B$7*Assumptions!$B$6)</f>
        <v>56.4635062237613</v>
      </c>
      <c r="K81" s="34" t="n">
        <f aca="false">(Scenarios!$B$5+Scenarios!C$12*($A81&gt;=Assumptions!$B$14))*(1+Scenarios!C$13)^MAX(0,YEAR($A81)-Assumptions!$B$18+(MONTH($A81)&gt;=4))</f>
        <v>52.95</v>
      </c>
      <c r="L81" s="34" t="n">
        <f aca="false">(Scenarios!$B$5+Scenarios!D$12*($A81&gt;=Assumptions!$B$14))*(1+Scenarios!D$13)^MAX(0,YEAR($A81)-Assumptions!$B$18+(MONTH($A81)&gt;=4))</f>
        <v>65.7251769201936</v>
      </c>
      <c r="M81" s="34" t="n">
        <f aca="false">(Scenarios!$B$5+Scenarios!E$12*($A81&gt;=Assumptions!$B$14))*(1+Scenarios!E$13)^MAX(0,YEAR($A81)-Assumptions!$B$18+(MONTH($A81)&gt;=4))</f>
        <v>65.7251769201936</v>
      </c>
      <c r="N81" s="34" t="n">
        <f aca="false">$G81+H81</f>
        <v>75.632252958671</v>
      </c>
      <c r="O81" s="34" t="n">
        <f aca="false">$G81+I81</f>
        <v>89.3369874790014</v>
      </c>
      <c r="P81" s="34" t="n">
        <f aca="false">$G81+J81</f>
        <v>106.879047665024</v>
      </c>
    </row>
    <row r="82" customFormat="false" ht="15" hidden="false" customHeight="false" outlineLevel="0" collapsed="false">
      <c r="A82" s="36" t="n">
        <f aca="false">Scenarios!A82</f>
        <v>48153</v>
      </c>
      <c r="B82" s="21" t="n">
        <f aca="false">Scenarios!B82</f>
        <v>5.16666666666667</v>
      </c>
      <c r="C82" s="44" t="n">
        <f aca="false">INDEX(Assumptions!$E$22:$E$32,MATCH(YEAR($A82),Assumptions!$A$22:$A$32,0))</f>
        <v>1.1678768001705</v>
      </c>
      <c r="D82" s="34" t="n">
        <f aca="false">Assumptions!$B$5+(INDEX(Assumptions!$B$22:$B$32,MATCH(YEAR($A82),Assumptions!$A$22:$A$32,0))*$C82-Assumptions!$B$5)*MIN(1,$B82/Assumptions!$B$11)</f>
        <v>53.7223328078431</v>
      </c>
      <c r="E82" s="34" t="n">
        <f aca="false">Assumptions!$B$5+(INDEX(Assumptions!$C$22:$C$32,MATCH(YEAR($A82),Assumptions!$A$22:$A$32,0))*$C82-Assumptions!$B$5)*MIN(1,$B82/Assumptions!$B$11)</f>
        <v>82.9192528121057</v>
      </c>
      <c r="F82" s="34" t="n">
        <f aca="false">Assumptions!$B$5+(INDEX(Assumptions!$D$22:$D$32,MATCH(YEAR($A82),Assumptions!$A$22:$A$32,0))*$C82-Assumptions!$B$5)*MIN(1,$B82/Assumptions!$B$11)</f>
        <v>120.291310417562</v>
      </c>
      <c r="G82" s="34" t="n">
        <f aca="false">(Scenarios!$B$7-Scenarios!$B$8)*(1+Assumptions!$B$10)^$B82</f>
        <v>50.4988068068336</v>
      </c>
      <c r="H82" s="34" t="n">
        <f aca="false">D82*100/(Assumptions!$B$7*Assumptions!$B$6)</f>
        <v>25.216711517408</v>
      </c>
      <c r="I82" s="34" t="n">
        <f aca="false">E82*100/(Assumptions!$B$7*Assumptions!$B$6)</f>
        <v>38.9214460377384</v>
      </c>
      <c r="J82" s="34" t="n">
        <f aca="false">F82*100/(Assumptions!$B$7*Assumptions!$B$6)</f>
        <v>56.4635062237613</v>
      </c>
      <c r="K82" s="34" t="n">
        <f aca="false">(Scenarios!$B$5+Scenarios!C$12*($A82&gt;=Assumptions!$B$14))*(1+Scenarios!C$13)^MAX(0,YEAR($A82)-Assumptions!$B$18+(MONTH($A82)&gt;=4))</f>
        <v>52.95</v>
      </c>
      <c r="L82" s="34" t="n">
        <f aca="false">(Scenarios!$B$5+Scenarios!D$12*($A82&gt;=Assumptions!$B$14))*(1+Scenarios!D$13)^MAX(0,YEAR($A82)-Assumptions!$B$18+(MONTH($A82)&gt;=4))</f>
        <v>65.7251769201936</v>
      </c>
      <c r="M82" s="34" t="n">
        <f aca="false">(Scenarios!$B$5+Scenarios!E$12*($A82&gt;=Assumptions!$B$14))*(1+Scenarios!E$13)^MAX(0,YEAR($A82)-Assumptions!$B$18+(MONTH($A82)&gt;=4))</f>
        <v>65.7251769201936</v>
      </c>
      <c r="N82" s="34" t="n">
        <f aca="false">$G82+H82</f>
        <v>75.7155183242415</v>
      </c>
      <c r="O82" s="34" t="n">
        <f aca="false">$G82+I82</f>
        <v>89.420252844572</v>
      </c>
      <c r="P82" s="34" t="n">
        <f aca="false">$G82+J82</f>
        <v>106.962313030595</v>
      </c>
    </row>
    <row r="83" customFormat="false" ht="15" hidden="false" customHeight="false" outlineLevel="0" collapsed="false">
      <c r="A83" s="36" t="n">
        <f aca="false">Scenarios!A83</f>
        <v>48183</v>
      </c>
      <c r="B83" s="21" t="n">
        <f aca="false">Scenarios!B83</f>
        <v>5.25</v>
      </c>
      <c r="C83" s="44" t="n">
        <f aca="false">INDEX(Assumptions!$E$22:$E$32,MATCH(YEAR($A83),Assumptions!$A$22:$A$32,0))</f>
        <v>1.1678768001705</v>
      </c>
      <c r="D83" s="34" t="n">
        <f aca="false">Assumptions!$B$5+(INDEX(Assumptions!$B$22:$B$32,MATCH(YEAR($A83),Assumptions!$A$22:$A$32,0))*$C83-Assumptions!$B$5)*MIN(1,$B83/Assumptions!$B$11)</f>
        <v>53.7223328078431</v>
      </c>
      <c r="E83" s="34" t="n">
        <f aca="false">Assumptions!$B$5+(INDEX(Assumptions!$C$22:$C$32,MATCH(YEAR($A83),Assumptions!$A$22:$A$32,0))*$C83-Assumptions!$B$5)*MIN(1,$B83/Assumptions!$B$11)</f>
        <v>82.9192528121057</v>
      </c>
      <c r="F83" s="34" t="n">
        <f aca="false">Assumptions!$B$5+(INDEX(Assumptions!$D$22:$D$32,MATCH(YEAR($A83),Assumptions!$A$22:$A$32,0))*$C83-Assumptions!$B$5)*MIN(1,$B83/Assumptions!$B$11)</f>
        <v>120.291310417562</v>
      </c>
      <c r="G83" s="34" t="n">
        <f aca="false">(Scenarios!$B$7-Scenarios!$B$8)*(1+Assumptions!$B$10)^$B83</f>
        <v>50.582209691925</v>
      </c>
      <c r="H83" s="34" t="n">
        <f aca="false">D83*100/(Assumptions!$B$7*Assumptions!$B$6)</f>
        <v>25.216711517408</v>
      </c>
      <c r="I83" s="34" t="n">
        <f aca="false">E83*100/(Assumptions!$B$7*Assumptions!$B$6)</f>
        <v>38.9214460377384</v>
      </c>
      <c r="J83" s="34" t="n">
        <f aca="false">F83*100/(Assumptions!$B$7*Assumptions!$B$6)</f>
        <v>56.4635062237613</v>
      </c>
      <c r="K83" s="34" t="n">
        <f aca="false">(Scenarios!$B$5+Scenarios!C$12*($A83&gt;=Assumptions!$B$14))*(1+Scenarios!C$13)^MAX(0,YEAR($A83)-Assumptions!$B$18+(MONTH($A83)&gt;=4))</f>
        <v>52.95</v>
      </c>
      <c r="L83" s="34" t="n">
        <f aca="false">(Scenarios!$B$5+Scenarios!D$12*($A83&gt;=Assumptions!$B$14))*(1+Scenarios!D$13)^MAX(0,YEAR($A83)-Assumptions!$B$18+(MONTH($A83)&gt;=4))</f>
        <v>65.7251769201936</v>
      </c>
      <c r="M83" s="34" t="n">
        <f aca="false">(Scenarios!$B$5+Scenarios!E$12*($A83&gt;=Assumptions!$B$14))*(1+Scenarios!E$13)^MAX(0,YEAR($A83)-Assumptions!$B$18+(MONTH($A83)&gt;=4))</f>
        <v>65.7251769201936</v>
      </c>
      <c r="N83" s="34" t="n">
        <f aca="false">$G83+H83</f>
        <v>75.798921209333</v>
      </c>
      <c r="O83" s="34" t="n">
        <f aca="false">$G83+I83</f>
        <v>89.5036557296634</v>
      </c>
      <c r="P83" s="34" t="n">
        <f aca="false">$G83+J83</f>
        <v>107.045715915686</v>
      </c>
    </row>
    <row r="84" customFormat="false" ht="15" hidden="false" customHeight="false" outlineLevel="0" collapsed="false">
      <c r="A84" s="36" t="n">
        <f aca="false">Scenarios!A84</f>
        <v>48214</v>
      </c>
      <c r="B84" s="21" t="n">
        <f aca="false">Scenarios!B84</f>
        <v>5.33333333333333</v>
      </c>
      <c r="C84" s="44" t="n">
        <f aca="false">INDEX(Assumptions!$E$22:$E$32,MATCH(YEAR($A84),Assumptions!$A$22:$A$32,0))</f>
        <v>1.19123433617391</v>
      </c>
      <c r="D84" s="34" t="n">
        <f aca="false">Assumptions!$B$5+(INDEX(Assumptions!$B$22:$B$32,MATCH(YEAR($A84),Assumptions!$A$22:$A$32,0))*$C84-Assumptions!$B$5)*MIN(1,$B84/Assumptions!$B$11)</f>
        <v>55.9880138001739</v>
      </c>
      <c r="E84" s="34" t="n">
        <f aca="false">Assumptions!$B$5+(INDEX(Assumptions!$C$22:$C$32,MATCH(YEAR($A84),Assumptions!$A$22:$A$32,0))*$C84-Assumptions!$B$5)*MIN(1,$B84/Assumptions!$B$11)</f>
        <v>85.7688722045217</v>
      </c>
      <c r="F84" s="34" t="n">
        <f aca="false">Assumptions!$B$5+(INDEX(Assumptions!$D$22:$D$32,MATCH(YEAR($A84),Assumptions!$A$22:$A$32,0))*$C84-Assumptions!$B$5)*MIN(1,$B84/Assumptions!$B$11)</f>
        <v>125.079605298261</v>
      </c>
      <c r="G84" s="34" t="n">
        <f aca="false">(Scenarios!$B$7-Scenarios!$B$8)*(1+Assumptions!$B$10)^$B84</f>
        <v>50.665750323662</v>
      </c>
      <c r="H84" s="34" t="n">
        <f aca="false">D84*100/(Assumptions!$B$7*Assumptions!$B$6)</f>
        <v>26.2801989161856</v>
      </c>
      <c r="I84" s="34" t="n">
        <f aca="false">E84*100/(Assumptions!$B$7*Assumptions!$B$6)</f>
        <v>40.2590281269227</v>
      </c>
      <c r="J84" s="34" t="n">
        <f aca="false">F84*100/(Assumptions!$B$7*Assumptions!$B$6)</f>
        <v>58.7110826850955</v>
      </c>
      <c r="K84" s="34" t="n">
        <f aca="false">(Scenarios!$B$5+Scenarios!C$12*($A84&gt;=Assumptions!$B$14))*(1+Scenarios!C$13)^MAX(0,YEAR($A84)-Assumptions!$B$18+(MONTH($A84)&gt;=4))</f>
        <v>52.95</v>
      </c>
      <c r="L84" s="34" t="n">
        <f aca="false">(Scenarios!$B$5+Scenarios!D$12*($A84&gt;=Assumptions!$B$14))*(1+Scenarios!D$13)^MAX(0,YEAR($A84)-Assumptions!$B$18+(MONTH($A84)&gt;=4))</f>
        <v>65.7251769201936</v>
      </c>
      <c r="M84" s="34" t="n">
        <f aca="false">(Scenarios!$B$5+Scenarios!E$12*($A84&gt;=Assumptions!$B$14))*(1+Scenarios!E$13)^MAX(0,YEAR($A84)-Assumptions!$B$18+(MONTH($A84)&gt;=4))</f>
        <v>65.7251769201936</v>
      </c>
      <c r="N84" s="34" t="n">
        <f aca="false">$G84+H84</f>
        <v>76.9459492398476</v>
      </c>
      <c r="O84" s="34" t="n">
        <f aca="false">$G84+I84</f>
        <v>90.9247784505847</v>
      </c>
      <c r="P84" s="34" t="n">
        <f aca="false">$G84+J84</f>
        <v>109.376833008758</v>
      </c>
    </row>
    <row r="85" customFormat="false" ht="15" hidden="false" customHeight="false" outlineLevel="0" collapsed="false">
      <c r="A85" s="36" t="n">
        <f aca="false">Scenarios!A85</f>
        <v>48245</v>
      </c>
      <c r="B85" s="21" t="n">
        <f aca="false">Scenarios!B85</f>
        <v>5.41666666666667</v>
      </c>
      <c r="C85" s="44" t="n">
        <f aca="false">INDEX(Assumptions!$E$22:$E$32,MATCH(YEAR($A85),Assumptions!$A$22:$A$32,0))</f>
        <v>1.19123433617391</v>
      </c>
      <c r="D85" s="34" t="n">
        <f aca="false">Assumptions!$B$5+(INDEX(Assumptions!$B$22:$B$32,MATCH(YEAR($A85),Assumptions!$A$22:$A$32,0))*$C85-Assumptions!$B$5)*MIN(1,$B85/Assumptions!$B$11)</f>
        <v>55.9880138001739</v>
      </c>
      <c r="E85" s="34" t="n">
        <f aca="false">Assumptions!$B$5+(INDEX(Assumptions!$C$22:$C$32,MATCH(YEAR($A85),Assumptions!$A$22:$A$32,0))*$C85-Assumptions!$B$5)*MIN(1,$B85/Assumptions!$B$11)</f>
        <v>85.7688722045217</v>
      </c>
      <c r="F85" s="34" t="n">
        <f aca="false">Assumptions!$B$5+(INDEX(Assumptions!$D$22:$D$32,MATCH(YEAR($A85),Assumptions!$A$22:$A$32,0))*$C85-Assumptions!$B$5)*MIN(1,$B85/Assumptions!$B$11)</f>
        <v>125.079605298261</v>
      </c>
      <c r="G85" s="34" t="n">
        <f aca="false">(Scenarios!$B$7-Scenarios!$B$8)*(1+Assumptions!$B$10)^$B85</f>
        <v>50.7494289295443</v>
      </c>
      <c r="H85" s="34" t="n">
        <f aca="false">D85*100/(Assumptions!$B$7*Assumptions!$B$6)</f>
        <v>26.2801989161856</v>
      </c>
      <c r="I85" s="34" t="n">
        <f aca="false">E85*100/(Assumptions!$B$7*Assumptions!$B$6)</f>
        <v>40.2590281269227</v>
      </c>
      <c r="J85" s="34" t="n">
        <f aca="false">F85*100/(Assumptions!$B$7*Assumptions!$B$6)</f>
        <v>58.7110826850955</v>
      </c>
      <c r="K85" s="34" t="n">
        <f aca="false">(Scenarios!$B$5+Scenarios!C$12*($A85&gt;=Assumptions!$B$14))*(1+Scenarios!C$13)^MAX(0,YEAR($A85)-Assumptions!$B$18+(MONTH($A85)&gt;=4))</f>
        <v>52.95</v>
      </c>
      <c r="L85" s="34" t="n">
        <f aca="false">(Scenarios!$B$5+Scenarios!D$12*($A85&gt;=Assumptions!$B$14))*(1+Scenarios!D$13)^MAX(0,YEAR($A85)-Assumptions!$B$18+(MONTH($A85)&gt;=4))</f>
        <v>65.7251769201936</v>
      </c>
      <c r="M85" s="34" t="n">
        <f aca="false">(Scenarios!$B$5+Scenarios!E$12*($A85&gt;=Assumptions!$B$14))*(1+Scenarios!E$13)^MAX(0,YEAR($A85)-Assumptions!$B$18+(MONTH($A85)&gt;=4))</f>
        <v>65.7251769201936</v>
      </c>
      <c r="N85" s="34" t="n">
        <f aca="false">$G85+H85</f>
        <v>77.0296278457299</v>
      </c>
      <c r="O85" s="34" t="n">
        <f aca="false">$G85+I85</f>
        <v>91.008457056467</v>
      </c>
      <c r="P85" s="34" t="n">
        <f aca="false">$G85+J85</f>
        <v>109.46051161464</v>
      </c>
    </row>
    <row r="86" customFormat="false" ht="15" hidden="false" customHeight="false" outlineLevel="0" collapsed="false">
      <c r="A86" s="36" t="n">
        <f aca="false">Scenarios!A86</f>
        <v>48274</v>
      </c>
      <c r="B86" s="21" t="n">
        <f aca="false">Scenarios!B86</f>
        <v>5.5</v>
      </c>
      <c r="C86" s="44" t="n">
        <f aca="false">INDEX(Assumptions!$E$22:$E$32,MATCH(YEAR($A86),Assumptions!$A$22:$A$32,0))</f>
        <v>1.19123433617391</v>
      </c>
      <c r="D86" s="34" t="n">
        <f aca="false">Assumptions!$B$5+(INDEX(Assumptions!$B$22:$B$32,MATCH(YEAR($A86),Assumptions!$A$22:$A$32,0))*$C86-Assumptions!$B$5)*MIN(1,$B86/Assumptions!$B$11)</f>
        <v>55.9880138001739</v>
      </c>
      <c r="E86" s="34" t="n">
        <f aca="false">Assumptions!$B$5+(INDEX(Assumptions!$C$22:$C$32,MATCH(YEAR($A86),Assumptions!$A$22:$A$32,0))*$C86-Assumptions!$B$5)*MIN(1,$B86/Assumptions!$B$11)</f>
        <v>85.7688722045217</v>
      </c>
      <c r="F86" s="34" t="n">
        <f aca="false">Assumptions!$B$5+(INDEX(Assumptions!$D$22:$D$32,MATCH(YEAR($A86),Assumptions!$A$22:$A$32,0))*$C86-Assumptions!$B$5)*MIN(1,$B86/Assumptions!$B$11)</f>
        <v>125.079605298261</v>
      </c>
      <c r="G86" s="34" t="n">
        <f aca="false">(Scenarios!$B$7-Scenarios!$B$8)*(1+Assumptions!$B$10)^$B86</f>
        <v>50.8332457374475</v>
      </c>
      <c r="H86" s="34" t="n">
        <f aca="false">D86*100/(Assumptions!$B$7*Assumptions!$B$6)</f>
        <v>26.2801989161856</v>
      </c>
      <c r="I86" s="34" t="n">
        <f aca="false">E86*100/(Assumptions!$B$7*Assumptions!$B$6)</f>
        <v>40.2590281269227</v>
      </c>
      <c r="J86" s="34" t="n">
        <f aca="false">F86*100/(Assumptions!$B$7*Assumptions!$B$6)</f>
        <v>58.7110826850955</v>
      </c>
      <c r="K86" s="34" t="n">
        <f aca="false">(Scenarios!$B$5+Scenarios!C$12*($A86&gt;=Assumptions!$B$14))*(1+Scenarios!C$13)^MAX(0,YEAR($A86)-Assumptions!$B$18+(MONTH($A86)&gt;=4))</f>
        <v>52.95</v>
      </c>
      <c r="L86" s="34" t="n">
        <f aca="false">(Scenarios!$B$5+Scenarios!D$12*($A86&gt;=Assumptions!$B$14))*(1+Scenarios!D$13)^MAX(0,YEAR($A86)-Assumptions!$B$18+(MONTH($A86)&gt;=4))</f>
        <v>65.7251769201936</v>
      </c>
      <c r="M86" s="34" t="n">
        <f aca="false">(Scenarios!$B$5+Scenarios!E$12*($A86&gt;=Assumptions!$B$14))*(1+Scenarios!E$13)^MAX(0,YEAR($A86)-Assumptions!$B$18+(MONTH($A86)&gt;=4))</f>
        <v>65.7251769201936</v>
      </c>
      <c r="N86" s="34" t="n">
        <f aca="false">$G86+H86</f>
        <v>77.1134446536331</v>
      </c>
      <c r="O86" s="34" t="n">
        <f aca="false">$G86+I86</f>
        <v>91.0922738643701</v>
      </c>
      <c r="P86" s="34" t="n">
        <f aca="false">$G86+J86</f>
        <v>109.544328422543</v>
      </c>
    </row>
    <row r="87" customFormat="false" ht="15" hidden="false" customHeight="false" outlineLevel="0" collapsed="false">
      <c r="A87" s="36" t="n">
        <f aca="false">Scenarios!A87</f>
        <v>48305</v>
      </c>
      <c r="B87" s="21" t="n">
        <f aca="false">Scenarios!B87</f>
        <v>5.58333333333333</v>
      </c>
      <c r="C87" s="44" t="n">
        <f aca="false">INDEX(Assumptions!$E$22:$E$32,MATCH(YEAR($A87),Assumptions!$A$22:$A$32,0))</f>
        <v>1.19123433617391</v>
      </c>
      <c r="D87" s="34" t="n">
        <f aca="false">Assumptions!$B$5+(INDEX(Assumptions!$B$22:$B$32,MATCH(YEAR($A87),Assumptions!$A$22:$A$32,0))*$C87-Assumptions!$B$5)*MIN(1,$B87/Assumptions!$B$11)</f>
        <v>55.9880138001739</v>
      </c>
      <c r="E87" s="34" t="n">
        <f aca="false">Assumptions!$B$5+(INDEX(Assumptions!$C$22:$C$32,MATCH(YEAR($A87),Assumptions!$A$22:$A$32,0))*$C87-Assumptions!$B$5)*MIN(1,$B87/Assumptions!$B$11)</f>
        <v>85.7688722045217</v>
      </c>
      <c r="F87" s="34" t="n">
        <f aca="false">Assumptions!$B$5+(INDEX(Assumptions!$D$22:$D$32,MATCH(YEAR($A87),Assumptions!$A$22:$A$32,0))*$C87-Assumptions!$B$5)*MIN(1,$B87/Assumptions!$B$11)</f>
        <v>125.079605298261</v>
      </c>
      <c r="G87" s="34" t="n">
        <f aca="false">(Scenarios!$B$7-Scenarios!$B$8)*(1+Assumptions!$B$10)^$B87</f>
        <v>50.9172009756233</v>
      </c>
      <c r="H87" s="34" t="n">
        <f aca="false">D87*100/(Assumptions!$B$7*Assumptions!$B$6)</f>
        <v>26.2801989161856</v>
      </c>
      <c r="I87" s="34" t="n">
        <f aca="false">E87*100/(Assumptions!$B$7*Assumptions!$B$6)</f>
        <v>40.2590281269227</v>
      </c>
      <c r="J87" s="34" t="n">
        <f aca="false">F87*100/(Assumptions!$B$7*Assumptions!$B$6)</f>
        <v>58.7110826850955</v>
      </c>
      <c r="K87" s="34" t="n">
        <f aca="false">(Scenarios!$B$5+Scenarios!C$12*($A87&gt;=Assumptions!$B$14))*(1+Scenarios!C$13)^MAX(0,YEAR($A87)-Assumptions!$B$18+(MONTH($A87)&gt;=4))</f>
        <v>52.95</v>
      </c>
      <c r="L87" s="34" t="n">
        <f aca="false">(Scenarios!$B$5+Scenarios!D$12*($A87&gt;=Assumptions!$B$14))*(1+Scenarios!D$13)^MAX(0,YEAR($A87)-Assumptions!$B$18+(MONTH($A87)&gt;=4))</f>
        <v>67.4011689316585</v>
      </c>
      <c r="M87" s="34" t="n">
        <f aca="false">(Scenarios!$B$5+Scenarios!E$12*($A87&gt;=Assumptions!$B$14))*(1+Scenarios!E$13)^MAX(0,YEAR($A87)-Assumptions!$B$18+(MONTH($A87)&gt;=4))</f>
        <v>67.4011689316585</v>
      </c>
      <c r="N87" s="34" t="n">
        <f aca="false">$G87+H87</f>
        <v>77.197399891809</v>
      </c>
      <c r="O87" s="34" t="n">
        <f aca="false">$G87+I87</f>
        <v>91.176229102546</v>
      </c>
      <c r="P87" s="34" t="n">
        <f aca="false">$G87+J87</f>
        <v>109.628283660719</v>
      </c>
    </row>
    <row r="88" customFormat="false" ht="15" hidden="false" customHeight="false" outlineLevel="0" collapsed="false">
      <c r="A88" s="36" t="n">
        <f aca="false">Scenarios!A88</f>
        <v>48335</v>
      </c>
      <c r="B88" s="21" t="n">
        <f aca="false">Scenarios!B88</f>
        <v>5.66666666666667</v>
      </c>
      <c r="C88" s="44" t="n">
        <f aca="false">INDEX(Assumptions!$E$22:$E$32,MATCH(YEAR($A88),Assumptions!$A$22:$A$32,0))</f>
        <v>1.19123433617391</v>
      </c>
      <c r="D88" s="34" t="n">
        <f aca="false">Assumptions!$B$5+(INDEX(Assumptions!$B$22:$B$32,MATCH(YEAR($A88),Assumptions!$A$22:$A$32,0))*$C88-Assumptions!$B$5)*MIN(1,$B88/Assumptions!$B$11)</f>
        <v>55.9880138001739</v>
      </c>
      <c r="E88" s="34" t="n">
        <f aca="false">Assumptions!$B$5+(INDEX(Assumptions!$C$22:$C$32,MATCH(YEAR($A88),Assumptions!$A$22:$A$32,0))*$C88-Assumptions!$B$5)*MIN(1,$B88/Assumptions!$B$11)</f>
        <v>85.7688722045217</v>
      </c>
      <c r="F88" s="34" t="n">
        <f aca="false">Assumptions!$B$5+(INDEX(Assumptions!$D$22:$D$32,MATCH(YEAR($A88),Assumptions!$A$22:$A$32,0))*$C88-Assumptions!$B$5)*MIN(1,$B88/Assumptions!$B$11)</f>
        <v>125.079605298261</v>
      </c>
      <c r="G88" s="34" t="n">
        <f aca="false">(Scenarios!$B$7-Scenarios!$B$8)*(1+Assumptions!$B$10)^$B88</f>
        <v>51.0012948727008</v>
      </c>
      <c r="H88" s="34" t="n">
        <f aca="false">D88*100/(Assumptions!$B$7*Assumptions!$B$6)</f>
        <v>26.2801989161856</v>
      </c>
      <c r="I88" s="34" t="n">
        <f aca="false">E88*100/(Assumptions!$B$7*Assumptions!$B$6)</f>
        <v>40.2590281269227</v>
      </c>
      <c r="J88" s="34" t="n">
        <f aca="false">F88*100/(Assumptions!$B$7*Assumptions!$B$6)</f>
        <v>58.7110826850955</v>
      </c>
      <c r="K88" s="34" t="n">
        <f aca="false">(Scenarios!$B$5+Scenarios!C$12*($A88&gt;=Assumptions!$B$14))*(1+Scenarios!C$13)^MAX(0,YEAR($A88)-Assumptions!$B$18+(MONTH($A88)&gt;=4))</f>
        <v>52.95</v>
      </c>
      <c r="L88" s="34" t="n">
        <f aca="false">(Scenarios!$B$5+Scenarios!D$12*($A88&gt;=Assumptions!$B$14))*(1+Scenarios!D$13)^MAX(0,YEAR($A88)-Assumptions!$B$18+(MONTH($A88)&gt;=4))</f>
        <v>67.4011689316585</v>
      </c>
      <c r="M88" s="34" t="n">
        <f aca="false">(Scenarios!$B$5+Scenarios!E$12*($A88&gt;=Assumptions!$B$14))*(1+Scenarios!E$13)^MAX(0,YEAR($A88)-Assumptions!$B$18+(MONTH($A88)&gt;=4))</f>
        <v>67.4011689316585</v>
      </c>
      <c r="N88" s="34" t="n">
        <f aca="false">$G88+H88</f>
        <v>77.2814937888864</v>
      </c>
      <c r="O88" s="34" t="n">
        <f aca="false">$G88+I88</f>
        <v>91.2603229996235</v>
      </c>
      <c r="P88" s="34" t="n">
        <f aca="false">$G88+J88</f>
        <v>109.712377557796</v>
      </c>
    </row>
    <row r="89" customFormat="false" ht="15" hidden="false" customHeight="false" outlineLevel="0" collapsed="false">
      <c r="A89" s="36" t="n">
        <f aca="false">Scenarios!A89</f>
        <v>48366</v>
      </c>
      <c r="B89" s="21" t="n">
        <f aca="false">Scenarios!B89</f>
        <v>5.75</v>
      </c>
      <c r="C89" s="44" t="n">
        <f aca="false">INDEX(Assumptions!$E$22:$E$32,MATCH(YEAR($A89),Assumptions!$A$22:$A$32,0))</f>
        <v>1.19123433617391</v>
      </c>
      <c r="D89" s="34" t="n">
        <f aca="false">Assumptions!$B$5+(INDEX(Assumptions!$B$22:$B$32,MATCH(YEAR($A89),Assumptions!$A$22:$A$32,0))*$C89-Assumptions!$B$5)*MIN(1,$B89/Assumptions!$B$11)</f>
        <v>55.9880138001739</v>
      </c>
      <c r="E89" s="34" t="n">
        <f aca="false">Assumptions!$B$5+(INDEX(Assumptions!$C$22:$C$32,MATCH(YEAR($A89),Assumptions!$A$22:$A$32,0))*$C89-Assumptions!$B$5)*MIN(1,$B89/Assumptions!$B$11)</f>
        <v>85.7688722045217</v>
      </c>
      <c r="F89" s="34" t="n">
        <f aca="false">Assumptions!$B$5+(INDEX(Assumptions!$D$22:$D$32,MATCH(YEAR($A89),Assumptions!$A$22:$A$32,0))*$C89-Assumptions!$B$5)*MIN(1,$B89/Assumptions!$B$11)</f>
        <v>125.079605298261</v>
      </c>
      <c r="G89" s="34" t="n">
        <f aca="false">(Scenarios!$B$7-Scenarios!$B$8)*(1+Assumptions!$B$10)^$B89</f>
        <v>51.0855276576863</v>
      </c>
      <c r="H89" s="34" t="n">
        <f aca="false">D89*100/(Assumptions!$B$7*Assumptions!$B$6)</f>
        <v>26.2801989161856</v>
      </c>
      <c r="I89" s="34" t="n">
        <f aca="false">E89*100/(Assumptions!$B$7*Assumptions!$B$6)</f>
        <v>40.2590281269227</v>
      </c>
      <c r="J89" s="34" t="n">
        <f aca="false">F89*100/(Assumptions!$B$7*Assumptions!$B$6)</f>
        <v>58.7110826850955</v>
      </c>
      <c r="K89" s="34" t="n">
        <f aca="false">(Scenarios!$B$5+Scenarios!C$12*($A89&gt;=Assumptions!$B$14))*(1+Scenarios!C$13)^MAX(0,YEAR($A89)-Assumptions!$B$18+(MONTH($A89)&gt;=4))</f>
        <v>52.95</v>
      </c>
      <c r="L89" s="34" t="n">
        <f aca="false">(Scenarios!$B$5+Scenarios!D$12*($A89&gt;=Assumptions!$B$14))*(1+Scenarios!D$13)^MAX(0,YEAR($A89)-Assumptions!$B$18+(MONTH($A89)&gt;=4))</f>
        <v>67.4011689316585</v>
      </c>
      <c r="M89" s="34" t="n">
        <f aca="false">(Scenarios!$B$5+Scenarios!E$12*($A89&gt;=Assumptions!$B$14))*(1+Scenarios!E$13)^MAX(0,YEAR($A89)-Assumptions!$B$18+(MONTH($A89)&gt;=4))</f>
        <v>67.4011689316585</v>
      </c>
      <c r="N89" s="34" t="n">
        <f aca="false">$G89+H89</f>
        <v>77.3657265738719</v>
      </c>
      <c r="O89" s="34" t="n">
        <f aca="false">$G89+I89</f>
        <v>91.3445557846089</v>
      </c>
      <c r="P89" s="34" t="n">
        <f aca="false">$G89+J89</f>
        <v>109.796610342782</v>
      </c>
    </row>
    <row r="90" customFormat="false" ht="15" hidden="false" customHeight="false" outlineLevel="0" collapsed="false">
      <c r="A90" s="36" t="n">
        <f aca="false">Scenarios!A90</f>
        <v>48396</v>
      </c>
      <c r="B90" s="21" t="n">
        <f aca="false">Scenarios!B90</f>
        <v>5.83333333333333</v>
      </c>
      <c r="C90" s="44" t="n">
        <f aca="false">INDEX(Assumptions!$E$22:$E$32,MATCH(YEAR($A90),Assumptions!$A$22:$A$32,0))</f>
        <v>1.19123433617391</v>
      </c>
      <c r="D90" s="34" t="n">
        <f aca="false">Assumptions!$B$5+(INDEX(Assumptions!$B$22:$B$32,MATCH(YEAR($A90),Assumptions!$A$22:$A$32,0))*$C90-Assumptions!$B$5)*MIN(1,$B90/Assumptions!$B$11)</f>
        <v>55.9880138001739</v>
      </c>
      <c r="E90" s="34" t="n">
        <f aca="false">Assumptions!$B$5+(INDEX(Assumptions!$C$22:$C$32,MATCH(YEAR($A90),Assumptions!$A$22:$A$32,0))*$C90-Assumptions!$B$5)*MIN(1,$B90/Assumptions!$B$11)</f>
        <v>85.7688722045217</v>
      </c>
      <c r="F90" s="34" t="n">
        <f aca="false">Assumptions!$B$5+(INDEX(Assumptions!$D$22:$D$32,MATCH(YEAR($A90),Assumptions!$A$22:$A$32,0))*$C90-Assumptions!$B$5)*MIN(1,$B90/Assumptions!$B$11)</f>
        <v>125.079605298261</v>
      </c>
      <c r="G90" s="34" t="n">
        <f aca="false">(Scenarios!$B$7-Scenarios!$B$8)*(1+Assumptions!$B$10)^$B90</f>
        <v>51.1698995599644</v>
      </c>
      <c r="H90" s="34" t="n">
        <f aca="false">D90*100/(Assumptions!$B$7*Assumptions!$B$6)</f>
        <v>26.2801989161856</v>
      </c>
      <c r="I90" s="34" t="n">
        <f aca="false">E90*100/(Assumptions!$B$7*Assumptions!$B$6)</f>
        <v>40.2590281269227</v>
      </c>
      <c r="J90" s="34" t="n">
        <f aca="false">F90*100/(Assumptions!$B$7*Assumptions!$B$6)</f>
        <v>58.7110826850955</v>
      </c>
      <c r="K90" s="34" t="n">
        <f aca="false">(Scenarios!$B$5+Scenarios!C$12*($A90&gt;=Assumptions!$B$14))*(1+Scenarios!C$13)^MAX(0,YEAR($A90)-Assumptions!$B$18+(MONTH($A90)&gt;=4))</f>
        <v>52.95</v>
      </c>
      <c r="L90" s="34" t="n">
        <f aca="false">(Scenarios!$B$5+Scenarios!D$12*($A90&gt;=Assumptions!$B$14))*(1+Scenarios!D$13)^MAX(0,YEAR($A90)-Assumptions!$B$18+(MONTH($A90)&gt;=4))</f>
        <v>67.4011689316585</v>
      </c>
      <c r="M90" s="34" t="n">
        <f aca="false">(Scenarios!$B$5+Scenarios!E$12*($A90&gt;=Assumptions!$B$14))*(1+Scenarios!E$13)^MAX(0,YEAR($A90)-Assumptions!$B$18+(MONTH($A90)&gt;=4))</f>
        <v>67.4011689316585</v>
      </c>
      <c r="N90" s="34" t="n">
        <f aca="false">$G90+H90</f>
        <v>77.4500984761501</v>
      </c>
      <c r="O90" s="34" t="n">
        <f aca="false">$G90+I90</f>
        <v>91.4289276868871</v>
      </c>
      <c r="P90" s="34" t="n">
        <f aca="false">$G90+J90</f>
        <v>109.88098224506</v>
      </c>
    </row>
    <row r="91" customFormat="false" ht="15" hidden="false" customHeight="false" outlineLevel="0" collapsed="false">
      <c r="A91" s="36" t="n">
        <f aca="false">Scenarios!A91</f>
        <v>48427</v>
      </c>
      <c r="B91" s="21" t="n">
        <f aca="false">Scenarios!B91</f>
        <v>5.91666666666667</v>
      </c>
      <c r="C91" s="44" t="n">
        <f aca="false">INDEX(Assumptions!$E$22:$E$32,MATCH(YEAR($A91),Assumptions!$A$22:$A$32,0))</f>
        <v>1.19123433617391</v>
      </c>
      <c r="D91" s="34" t="n">
        <f aca="false">Assumptions!$B$5+(INDEX(Assumptions!$B$22:$B$32,MATCH(YEAR($A91),Assumptions!$A$22:$A$32,0))*$C91-Assumptions!$B$5)*MIN(1,$B91/Assumptions!$B$11)</f>
        <v>55.9880138001739</v>
      </c>
      <c r="E91" s="34" t="n">
        <f aca="false">Assumptions!$B$5+(INDEX(Assumptions!$C$22:$C$32,MATCH(YEAR($A91),Assumptions!$A$22:$A$32,0))*$C91-Assumptions!$B$5)*MIN(1,$B91/Assumptions!$B$11)</f>
        <v>85.7688722045217</v>
      </c>
      <c r="F91" s="34" t="n">
        <f aca="false">Assumptions!$B$5+(INDEX(Assumptions!$D$22:$D$32,MATCH(YEAR($A91),Assumptions!$A$22:$A$32,0))*$C91-Assumptions!$B$5)*MIN(1,$B91/Assumptions!$B$11)</f>
        <v>125.079605298261</v>
      </c>
      <c r="G91" s="34" t="n">
        <f aca="false">(Scenarios!$B$7-Scenarios!$B$8)*(1+Assumptions!$B$10)^$B91</f>
        <v>51.2544108092988</v>
      </c>
      <c r="H91" s="34" t="n">
        <f aca="false">D91*100/(Assumptions!$B$7*Assumptions!$B$6)</f>
        <v>26.2801989161856</v>
      </c>
      <c r="I91" s="34" t="n">
        <f aca="false">E91*100/(Assumptions!$B$7*Assumptions!$B$6)</f>
        <v>40.2590281269227</v>
      </c>
      <c r="J91" s="34" t="n">
        <f aca="false">F91*100/(Assumptions!$B$7*Assumptions!$B$6)</f>
        <v>58.7110826850955</v>
      </c>
      <c r="K91" s="34" t="n">
        <f aca="false">(Scenarios!$B$5+Scenarios!C$12*($A91&gt;=Assumptions!$B$14))*(1+Scenarios!C$13)^MAX(0,YEAR($A91)-Assumptions!$B$18+(MONTH($A91)&gt;=4))</f>
        <v>52.95</v>
      </c>
      <c r="L91" s="34" t="n">
        <f aca="false">(Scenarios!$B$5+Scenarios!D$12*($A91&gt;=Assumptions!$B$14))*(1+Scenarios!D$13)^MAX(0,YEAR($A91)-Assumptions!$B$18+(MONTH($A91)&gt;=4))</f>
        <v>67.4011689316585</v>
      </c>
      <c r="M91" s="34" t="n">
        <f aca="false">(Scenarios!$B$5+Scenarios!E$12*($A91&gt;=Assumptions!$B$14))*(1+Scenarios!E$13)^MAX(0,YEAR($A91)-Assumptions!$B$18+(MONTH($A91)&gt;=4))</f>
        <v>67.4011689316585</v>
      </c>
      <c r="N91" s="34" t="n">
        <f aca="false">$G91+H91</f>
        <v>77.5346097254844</v>
      </c>
      <c r="O91" s="34" t="n">
        <f aca="false">$G91+I91</f>
        <v>91.5134389362215</v>
      </c>
      <c r="P91" s="34" t="n">
        <f aca="false">$G91+J91</f>
        <v>109.965493494394</v>
      </c>
    </row>
    <row r="92" customFormat="false" ht="15" hidden="false" customHeight="false" outlineLevel="0" collapsed="false">
      <c r="A92" s="36" t="n">
        <f aca="false">Scenarios!A92</f>
        <v>48458</v>
      </c>
      <c r="B92" s="21" t="n">
        <f aca="false">Scenarios!B92</f>
        <v>6</v>
      </c>
      <c r="C92" s="44" t="n">
        <f aca="false">INDEX(Assumptions!$E$22:$E$32,MATCH(YEAR($A92),Assumptions!$A$22:$A$32,0))</f>
        <v>1.19123433617391</v>
      </c>
      <c r="D92" s="34" t="n">
        <f aca="false">Assumptions!$B$5+(INDEX(Assumptions!$B$22:$B$32,MATCH(YEAR($A92),Assumptions!$A$22:$A$32,0))*$C92-Assumptions!$B$5)*MIN(1,$B92/Assumptions!$B$11)</f>
        <v>55.9880138001739</v>
      </c>
      <c r="E92" s="34" t="n">
        <f aca="false">Assumptions!$B$5+(INDEX(Assumptions!$C$22:$C$32,MATCH(YEAR($A92),Assumptions!$A$22:$A$32,0))*$C92-Assumptions!$B$5)*MIN(1,$B92/Assumptions!$B$11)</f>
        <v>85.7688722045217</v>
      </c>
      <c r="F92" s="34" t="n">
        <f aca="false">Assumptions!$B$5+(INDEX(Assumptions!$D$22:$D$32,MATCH(YEAR($A92),Assumptions!$A$22:$A$32,0))*$C92-Assumptions!$B$5)*MIN(1,$B92/Assumptions!$B$11)</f>
        <v>125.079605298261</v>
      </c>
      <c r="G92" s="34" t="n">
        <f aca="false">(Scenarios!$B$7-Scenarios!$B$8)*(1+Assumptions!$B$10)^$B92</f>
        <v>51.3390616358324</v>
      </c>
      <c r="H92" s="34" t="n">
        <f aca="false">D92*100/(Assumptions!$B$7*Assumptions!$B$6)</f>
        <v>26.2801989161856</v>
      </c>
      <c r="I92" s="34" t="n">
        <f aca="false">E92*100/(Assumptions!$B$7*Assumptions!$B$6)</f>
        <v>40.2590281269227</v>
      </c>
      <c r="J92" s="34" t="n">
        <f aca="false">F92*100/(Assumptions!$B$7*Assumptions!$B$6)</f>
        <v>58.7110826850955</v>
      </c>
      <c r="K92" s="34" t="n">
        <f aca="false">(Scenarios!$B$5+Scenarios!C$12*($A92&gt;=Assumptions!$B$14))*(1+Scenarios!C$13)^MAX(0,YEAR($A92)-Assumptions!$B$18+(MONTH($A92)&gt;=4))</f>
        <v>52.95</v>
      </c>
      <c r="L92" s="34" t="n">
        <f aca="false">(Scenarios!$B$5+Scenarios!D$12*($A92&gt;=Assumptions!$B$14))*(1+Scenarios!D$13)^MAX(0,YEAR($A92)-Assumptions!$B$18+(MONTH($A92)&gt;=4))</f>
        <v>67.4011689316585</v>
      </c>
      <c r="M92" s="34" t="n">
        <f aca="false">(Scenarios!$B$5+Scenarios!E$12*($A92&gt;=Assumptions!$B$14))*(1+Scenarios!E$13)^MAX(0,YEAR($A92)-Assumptions!$B$18+(MONTH($A92)&gt;=4))</f>
        <v>67.4011689316585</v>
      </c>
      <c r="N92" s="34" t="n">
        <f aca="false">$G92+H92</f>
        <v>77.619260552018</v>
      </c>
      <c r="O92" s="34" t="n">
        <f aca="false">$G92+I92</f>
        <v>91.598089762755</v>
      </c>
      <c r="P92" s="34" t="n">
        <f aca="false">$G92+J92</f>
        <v>110.050144320928</v>
      </c>
    </row>
    <row r="93" customFormat="false" ht="15" hidden="false" customHeight="false" outlineLevel="0" collapsed="false">
      <c r="A93" s="36" t="n">
        <f aca="false">Scenarios!A93</f>
        <v>48488</v>
      </c>
      <c r="B93" s="21" t="n">
        <f aca="false">Scenarios!B93</f>
        <v>6.08333333333333</v>
      </c>
      <c r="C93" s="44" t="n">
        <f aca="false">INDEX(Assumptions!$E$22:$E$32,MATCH(YEAR($A93),Assumptions!$A$22:$A$32,0))</f>
        <v>1.19123433617391</v>
      </c>
      <c r="D93" s="34" t="n">
        <f aca="false">Assumptions!$B$5+(INDEX(Assumptions!$B$22:$B$32,MATCH(YEAR($A93),Assumptions!$A$22:$A$32,0))*$C93-Assumptions!$B$5)*MIN(1,$B93/Assumptions!$B$11)</f>
        <v>55.9880138001739</v>
      </c>
      <c r="E93" s="34" t="n">
        <f aca="false">Assumptions!$B$5+(INDEX(Assumptions!$C$22:$C$32,MATCH(YEAR($A93),Assumptions!$A$22:$A$32,0))*$C93-Assumptions!$B$5)*MIN(1,$B93/Assumptions!$B$11)</f>
        <v>85.7688722045217</v>
      </c>
      <c r="F93" s="34" t="n">
        <f aca="false">Assumptions!$B$5+(INDEX(Assumptions!$D$22:$D$32,MATCH(YEAR($A93),Assumptions!$A$22:$A$32,0))*$C93-Assumptions!$B$5)*MIN(1,$B93/Assumptions!$B$11)</f>
        <v>125.079605298261</v>
      </c>
      <c r="G93" s="34" t="n">
        <f aca="false">(Scenarios!$B$7-Scenarios!$B$8)*(1+Assumptions!$B$10)^$B93</f>
        <v>51.4238522700882</v>
      </c>
      <c r="H93" s="34" t="n">
        <f aca="false">D93*100/(Assumptions!$B$7*Assumptions!$B$6)</f>
        <v>26.2801989161856</v>
      </c>
      <c r="I93" s="34" t="n">
        <f aca="false">E93*100/(Assumptions!$B$7*Assumptions!$B$6)</f>
        <v>40.2590281269227</v>
      </c>
      <c r="J93" s="34" t="n">
        <f aca="false">F93*100/(Assumptions!$B$7*Assumptions!$B$6)</f>
        <v>58.7110826850955</v>
      </c>
      <c r="K93" s="34" t="n">
        <f aca="false">(Scenarios!$B$5+Scenarios!C$12*($A93&gt;=Assumptions!$B$14))*(1+Scenarios!C$13)^MAX(0,YEAR($A93)-Assumptions!$B$18+(MONTH($A93)&gt;=4))</f>
        <v>52.95</v>
      </c>
      <c r="L93" s="34" t="n">
        <f aca="false">(Scenarios!$B$5+Scenarios!D$12*($A93&gt;=Assumptions!$B$14))*(1+Scenarios!D$13)^MAX(0,YEAR($A93)-Assumptions!$B$18+(MONTH($A93)&gt;=4))</f>
        <v>67.4011689316585</v>
      </c>
      <c r="M93" s="34" t="n">
        <f aca="false">(Scenarios!$B$5+Scenarios!E$12*($A93&gt;=Assumptions!$B$14))*(1+Scenarios!E$13)^MAX(0,YEAR($A93)-Assumptions!$B$18+(MONTH($A93)&gt;=4))</f>
        <v>67.4011689316585</v>
      </c>
      <c r="N93" s="34" t="n">
        <f aca="false">$G93+H93</f>
        <v>77.7040511862739</v>
      </c>
      <c r="O93" s="34" t="n">
        <f aca="false">$G93+I93</f>
        <v>91.6828803970109</v>
      </c>
      <c r="P93" s="34" t="n">
        <f aca="false">$G93+J93</f>
        <v>110.134934955184</v>
      </c>
    </row>
    <row r="94" customFormat="false" ht="15" hidden="false" customHeight="false" outlineLevel="0" collapsed="false">
      <c r="A94" s="36" t="n">
        <f aca="false">Scenarios!A94</f>
        <v>48519</v>
      </c>
      <c r="B94" s="21" t="n">
        <f aca="false">Scenarios!B94</f>
        <v>6.16666666666667</v>
      </c>
      <c r="C94" s="44" t="n">
        <f aca="false">INDEX(Assumptions!$E$22:$E$32,MATCH(YEAR($A94),Assumptions!$A$22:$A$32,0))</f>
        <v>1.19123433617391</v>
      </c>
      <c r="D94" s="34" t="n">
        <f aca="false">Assumptions!$B$5+(INDEX(Assumptions!$B$22:$B$32,MATCH(YEAR($A94),Assumptions!$A$22:$A$32,0))*$C94-Assumptions!$B$5)*MIN(1,$B94/Assumptions!$B$11)</f>
        <v>55.9880138001739</v>
      </c>
      <c r="E94" s="34" t="n">
        <f aca="false">Assumptions!$B$5+(INDEX(Assumptions!$C$22:$C$32,MATCH(YEAR($A94),Assumptions!$A$22:$A$32,0))*$C94-Assumptions!$B$5)*MIN(1,$B94/Assumptions!$B$11)</f>
        <v>85.7688722045217</v>
      </c>
      <c r="F94" s="34" t="n">
        <f aca="false">Assumptions!$B$5+(INDEX(Assumptions!$D$22:$D$32,MATCH(YEAR($A94),Assumptions!$A$22:$A$32,0))*$C94-Assumptions!$B$5)*MIN(1,$B94/Assumptions!$B$11)</f>
        <v>125.079605298261</v>
      </c>
      <c r="G94" s="34" t="n">
        <f aca="false">(Scenarios!$B$7-Scenarios!$B$8)*(1+Assumptions!$B$10)^$B94</f>
        <v>51.5087829429702</v>
      </c>
      <c r="H94" s="34" t="n">
        <f aca="false">D94*100/(Assumptions!$B$7*Assumptions!$B$6)</f>
        <v>26.2801989161856</v>
      </c>
      <c r="I94" s="34" t="n">
        <f aca="false">E94*100/(Assumptions!$B$7*Assumptions!$B$6)</f>
        <v>40.2590281269227</v>
      </c>
      <c r="J94" s="34" t="n">
        <f aca="false">F94*100/(Assumptions!$B$7*Assumptions!$B$6)</f>
        <v>58.7110826850955</v>
      </c>
      <c r="K94" s="34" t="n">
        <f aca="false">(Scenarios!$B$5+Scenarios!C$12*($A94&gt;=Assumptions!$B$14))*(1+Scenarios!C$13)^MAX(0,YEAR($A94)-Assumptions!$B$18+(MONTH($A94)&gt;=4))</f>
        <v>52.95</v>
      </c>
      <c r="L94" s="34" t="n">
        <f aca="false">(Scenarios!$B$5+Scenarios!D$12*($A94&gt;=Assumptions!$B$14))*(1+Scenarios!D$13)^MAX(0,YEAR($A94)-Assumptions!$B$18+(MONTH($A94)&gt;=4))</f>
        <v>67.4011689316585</v>
      </c>
      <c r="M94" s="34" t="n">
        <f aca="false">(Scenarios!$B$5+Scenarios!E$12*($A94&gt;=Assumptions!$B$14))*(1+Scenarios!E$13)^MAX(0,YEAR($A94)-Assumptions!$B$18+(MONTH($A94)&gt;=4))</f>
        <v>67.4011689316585</v>
      </c>
      <c r="N94" s="34" t="n">
        <f aca="false">$G94+H94</f>
        <v>77.7889818591558</v>
      </c>
      <c r="O94" s="34" t="n">
        <f aca="false">$G94+I94</f>
        <v>91.7678110698929</v>
      </c>
      <c r="P94" s="34" t="n">
        <f aca="false">$G94+J94</f>
        <v>110.219865628066</v>
      </c>
    </row>
    <row r="95" customFormat="false" ht="15" hidden="false" customHeight="false" outlineLevel="0" collapsed="false">
      <c r="A95" s="36" t="n">
        <f aca="false">Scenarios!A95</f>
        <v>48549</v>
      </c>
      <c r="B95" s="21" t="n">
        <f aca="false">Scenarios!B95</f>
        <v>6.25</v>
      </c>
      <c r="C95" s="44" t="n">
        <f aca="false">INDEX(Assumptions!$E$22:$E$32,MATCH(YEAR($A95),Assumptions!$A$22:$A$32,0))</f>
        <v>1.19123433617391</v>
      </c>
      <c r="D95" s="34" t="n">
        <f aca="false">Assumptions!$B$5+(INDEX(Assumptions!$B$22:$B$32,MATCH(YEAR($A95),Assumptions!$A$22:$A$32,0))*$C95-Assumptions!$B$5)*MIN(1,$B95/Assumptions!$B$11)</f>
        <v>55.9880138001739</v>
      </c>
      <c r="E95" s="34" t="n">
        <f aca="false">Assumptions!$B$5+(INDEX(Assumptions!$C$22:$C$32,MATCH(YEAR($A95),Assumptions!$A$22:$A$32,0))*$C95-Assumptions!$B$5)*MIN(1,$B95/Assumptions!$B$11)</f>
        <v>85.7688722045217</v>
      </c>
      <c r="F95" s="34" t="n">
        <f aca="false">Assumptions!$B$5+(INDEX(Assumptions!$D$22:$D$32,MATCH(YEAR($A95),Assumptions!$A$22:$A$32,0))*$C95-Assumptions!$B$5)*MIN(1,$B95/Assumptions!$B$11)</f>
        <v>125.079605298261</v>
      </c>
      <c r="G95" s="34" t="n">
        <f aca="false">(Scenarios!$B$7-Scenarios!$B$8)*(1+Assumptions!$B$10)^$B95</f>
        <v>51.5938538857635</v>
      </c>
      <c r="H95" s="34" t="n">
        <f aca="false">D95*100/(Assumptions!$B$7*Assumptions!$B$6)</f>
        <v>26.2801989161856</v>
      </c>
      <c r="I95" s="34" t="n">
        <f aca="false">E95*100/(Assumptions!$B$7*Assumptions!$B$6)</f>
        <v>40.2590281269227</v>
      </c>
      <c r="J95" s="34" t="n">
        <f aca="false">F95*100/(Assumptions!$B$7*Assumptions!$B$6)</f>
        <v>58.7110826850955</v>
      </c>
      <c r="K95" s="34" t="n">
        <f aca="false">(Scenarios!$B$5+Scenarios!C$12*($A95&gt;=Assumptions!$B$14))*(1+Scenarios!C$13)^MAX(0,YEAR($A95)-Assumptions!$B$18+(MONTH($A95)&gt;=4))</f>
        <v>52.95</v>
      </c>
      <c r="L95" s="34" t="n">
        <f aca="false">(Scenarios!$B$5+Scenarios!D$12*($A95&gt;=Assumptions!$B$14))*(1+Scenarios!D$13)^MAX(0,YEAR($A95)-Assumptions!$B$18+(MONTH($A95)&gt;=4))</f>
        <v>67.4011689316585</v>
      </c>
      <c r="M95" s="34" t="n">
        <f aca="false">(Scenarios!$B$5+Scenarios!E$12*($A95&gt;=Assumptions!$B$14))*(1+Scenarios!E$13)^MAX(0,YEAR($A95)-Assumptions!$B$18+(MONTH($A95)&gt;=4))</f>
        <v>67.4011689316585</v>
      </c>
      <c r="N95" s="34" t="n">
        <f aca="false">$G95+H95</f>
        <v>77.8740528019491</v>
      </c>
      <c r="O95" s="34" t="n">
        <f aca="false">$G95+I95</f>
        <v>91.8528820126862</v>
      </c>
      <c r="P95" s="34" t="n">
        <f aca="false">$G95+J95</f>
        <v>110.304936570859</v>
      </c>
    </row>
    <row r="96" customFormat="false" ht="15" hidden="false" customHeight="false" outlineLevel="0" collapsed="false">
      <c r="A96" s="36" t="n">
        <f aca="false">Scenarios!A96</f>
        <v>48580</v>
      </c>
      <c r="B96" s="21" t="n">
        <f aca="false">Scenarios!B96</f>
        <v>6.33333333333333</v>
      </c>
      <c r="C96" s="44" t="n">
        <f aca="false">INDEX(Assumptions!$E$22:$E$32,MATCH(YEAR($A96),Assumptions!$A$22:$A$32,0))</f>
        <v>1.21505902289739</v>
      </c>
      <c r="D96" s="34" t="n">
        <f aca="false">Assumptions!$B$5+(INDEX(Assumptions!$B$22:$B$32,MATCH(YEAR($A96),Assumptions!$A$22:$A$32,0))*$C96-Assumptions!$B$5)*MIN(1,$B96/Assumptions!$B$11)</f>
        <v>57.1077740761774</v>
      </c>
      <c r="E96" s="34" t="n">
        <f aca="false">Assumptions!$B$5+(INDEX(Assumptions!$C$22:$C$32,MATCH(YEAR($A96),Assumptions!$A$22:$A$32,0))*$C96-Assumptions!$B$5)*MIN(1,$B96/Assumptions!$B$11)</f>
        <v>89.9143676944069</v>
      </c>
      <c r="F96" s="34" t="n">
        <f aca="false">Assumptions!$B$5+(INDEX(Assumptions!$D$22:$D$32,MATCH(YEAR($A96),Assumptions!$A$22:$A$32,0))*$C96-Assumptions!$B$5)*MIN(1,$B96/Assumptions!$B$11)</f>
        <v>130.011315450021</v>
      </c>
      <c r="G96" s="34" t="n">
        <f aca="false">(Scenarios!$B$7-Scenarios!$B$8)*(1+Assumptions!$B$10)^$B96</f>
        <v>51.6790653301352</v>
      </c>
      <c r="H96" s="34" t="n">
        <f aca="false">D96*100/(Assumptions!$B$7*Assumptions!$B$6)</f>
        <v>26.8058028945093</v>
      </c>
      <c r="I96" s="34" t="n">
        <f aca="false">E96*100/(Assumptions!$B$7*Assumptions!$B$6)</f>
        <v>42.2048811530573</v>
      </c>
      <c r="J96" s="34" t="n">
        <f aca="false">F96*100/(Assumptions!$B$7*Assumptions!$B$6)</f>
        <v>61.0259768023936</v>
      </c>
      <c r="K96" s="34" t="n">
        <f aca="false">(Scenarios!$B$5+Scenarios!C$12*($A96&gt;=Assumptions!$B$14))*(1+Scenarios!C$13)^MAX(0,YEAR($A96)-Assumptions!$B$18+(MONTH($A96)&gt;=4))</f>
        <v>52.95</v>
      </c>
      <c r="L96" s="34" t="n">
        <f aca="false">(Scenarios!$B$5+Scenarios!D$12*($A96&gt;=Assumptions!$B$14))*(1+Scenarios!D$13)^MAX(0,YEAR($A96)-Assumptions!$B$18+(MONTH($A96)&gt;=4))</f>
        <v>67.4011689316585</v>
      </c>
      <c r="M96" s="34" t="n">
        <f aca="false">(Scenarios!$B$5+Scenarios!E$12*($A96&gt;=Assumptions!$B$14))*(1+Scenarios!E$13)^MAX(0,YEAR($A96)-Assumptions!$B$18+(MONTH($A96)&gt;=4))</f>
        <v>67.4011689316585</v>
      </c>
      <c r="N96" s="34" t="n">
        <f aca="false">$G96+H96</f>
        <v>78.4848682246446</v>
      </c>
      <c r="O96" s="34" t="n">
        <f aca="false">$G96+I96</f>
        <v>93.8839464831925</v>
      </c>
      <c r="P96" s="34" t="n">
        <f aca="false">$G96+J96</f>
        <v>112.705042132529</v>
      </c>
    </row>
    <row r="97" customFormat="false" ht="15" hidden="false" customHeight="false" outlineLevel="0" collapsed="false">
      <c r="A97" s="36" t="n">
        <f aca="false">Scenarios!A97</f>
        <v>48611</v>
      </c>
      <c r="B97" s="21" t="n">
        <f aca="false">Scenarios!B97</f>
        <v>6.41666666666667</v>
      </c>
      <c r="C97" s="44" t="n">
        <f aca="false">INDEX(Assumptions!$E$22:$E$32,MATCH(YEAR($A97),Assumptions!$A$22:$A$32,0))</f>
        <v>1.21505902289739</v>
      </c>
      <c r="D97" s="34" t="n">
        <f aca="false">Assumptions!$B$5+(INDEX(Assumptions!$B$22:$B$32,MATCH(YEAR($A97),Assumptions!$A$22:$A$32,0))*$C97-Assumptions!$B$5)*MIN(1,$B97/Assumptions!$B$11)</f>
        <v>57.1077740761774</v>
      </c>
      <c r="E97" s="34" t="n">
        <f aca="false">Assumptions!$B$5+(INDEX(Assumptions!$C$22:$C$32,MATCH(YEAR($A97),Assumptions!$A$22:$A$32,0))*$C97-Assumptions!$B$5)*MIN(1,$B97/Assumptions!$B$11)</f>
        <v>89.9143676944069</v>
      </c>
      <c r="F97" s="34" t="n">
        <f aca="false">Assumptions!$B$5+(INDEX(Assumptions!$D$22:$D$32,MATCH(YEAR($A97),Assumptions!$A$22:$A$32,0))*$C97-Assumptions!$B$5)*MIN(1,$B97/Assumptions!$B$11)</f>
        <v>130.011315450021</v>
      </c>
      <c r="G97" s="34" t="n">
        <f aca="false">(Scenarios!$B$7-Scenarios!$B$8)*(1+Assumptions!$B$10)^$B97</f>
        <v>51.7644175081352</v>
      </c>
      <c r="H97" s="34" t="n">
        <f aca="false">D97*100/(Assumptions!$B$7*Assumptions!$B$6)</f>
        <v>26.8058028945093</v>
      </c>
      <c r="I97" s="34" t="n">
        <f aca="false">E97*100/(Assumptions!$B$7*Assumptions!$B$6)</f>
        <v>42.2048811530573</v>
      </c>
      <c r="J97" s="34" t="n">
        <f aca="false">F97*100/(Assumptions!$B$7*Assumptions!$B$6)</f>
        <v>61.0259768023936</v>
      </c>
      <c r="K97" s="34" t="n">
        <f aca="false">(Scenarios!$B$5+Scenarios!C$12*($A97&gt;=Assumptions!$B$14))*(1+Scenarios!C$13)^MAX(0,YEAR($A97)-Assumptions!$B$18+(MONTH($A97)&gt;=4))</f>
        <v>52.95</v>
      </c>
      <c r="L97" s="34" t="n">
        <f aca="false">(Scenarios!$B$5+Scenarios!D$12*($A97&gt;=Assumptions!$B$14))*(1+Scenarios!D$13)^MAX(0,YEAR($A97)-Assumptions!$B$18+(MONTH($A97)&gt;=4))</f>
        <v>67.4011689316585</v>
      </c>
      <c r="M97" s="34" t="n">
        <f aca="false">(Scenarios!$B$5+Scenarios!E$12*($A97&gt;=Assumptions!$B$14))*(1+Scenarios!E$13)^MAX(0,YEAR($A97)-Assumptions!$B$18+(MONTH($A97)&gt;=4))</f>
        <v>67.4011689316585</v>
      </c>
      <c r="N97" s="34" t="n">
        <f aca="false">$G97+H97</f>
        <v>78.5702204026445</v>
      </c>
      <c r="O97" s="34" t="n">
        <f aca="false">$G97+I97</f>
        <v>93.9692986611925</v>
      </c>
      <c r="P97" s="34" t="n">
        <f aca="false">$G97+J97</f>
        <v>112.790394310529</v>
      </c>
    </row>
    <row r="98" customFormat="false" ht="15" hidden="false" customHeight="false" outlineLevel="0" collapsed="false">
      <c r="A98" s="36" t="n">
        <f aca="false">Scenarios!A98</f>
        <v>48639</v>
      </c>
      <c r="B98" s="21" t="n">
        <f aca="false">Scenarios!B98</f>
        <v>6.5</v>
      </c>
      <c r="C98" s="44" t="n">
        <f aca="false">INDEX(Assumptions!$E$22:$E$32,MATCH(YEAR($A98),Assumptions!$A$22:$A$32,0))</f>
        <v>1.21505902289739</v>
      </c>
      <c r="D98" s="34" t="n">
        <f aca="false">Assumptions!$B$5+(INDEX(Assumptions!$B$22:$B$32,MATCH(YEAR($A98),Assumptions!$A$22:$A$32,0))*$C98-Assumptions!$B$5)*MIN(1,$B98/Assumptions!$B$11)</f>
        <v>57.1077740761774</v>
      </c>
      <c r="E98" s="34" t="n">
        <f aca="false">Assumptions!$B$5+(INDEX(Assumptions!$C$22:$C$32,MATCH(YEAR($A98),Assumptions!$A$22:$A$32,0))*$C98-Assumptions!$B$5)*MIN(1,$B98/Assumptions!$B$11)</f>
        <v>89.9143676944069</v>
      </c>
      <c r="F98" s="34" t="n">
        <f aca="false">Assumptions!$B$5+(INDEX(Assumptions!$D$22:$D$32,MATCH(YEAR($A98),Assumptions!$A$22:$A$32,0))*$C98-Assumptions!$B$5)*MIN(1,$B98/Assumptions!$B$11)</f>
        <v>130.011315450021</v>
      </c>
      <c r="G98" s="34" t="n">
        <f aca="false">(Scenarios!$B$7-Scenarios!$B$8)*(1+Assumptions!$B$10)^$B98</f>
        <v>51.8499106521964</v>
      </c>
      <c r="H98" s="34" t="n">
        <f aca="false">D98*100/(Assumptions!$B$7*Assumptions!$B$6)</f>
        <v>26.8058028945093</v>
      </c>
      <c r="I98" s="34" t="n">
        <f aca="false">E98*100/(Assumptions!$B$7*Assumptions!$B$6)</f>
        <v>42.2048811530573</v>
      </c>
      <c r="J98" s="34" t="n">
        <f aca="false">F98*100/(Assumptions!$B$7*Assumptions!$B$6)</f>
        <v>61.0259768023936</v>
      </c>
      <c r="K98" s="34" t="n">
        <f aca="false">(Scenarios!$B$5+Scenarios!C$12*($A98&gt;=Assumptions!$B$14))*(1+Scenarios!C$13)^MAX(0,YEAR($A98)-Assumptions!$B$18+(MONTH($A98)&gt;=4))</f>
        <v>52.95</v>
      </c>
      <c r="L98" s="34" t="n">
        <f aca="false">(Scenarios!$B$5+Scenarios!D$12*($A98&gt;=Assumptions!$B$14))*(1+Scenarios!D$13)^MAX(0,YEAR($A98)-Assumptions!$B$18+(MONTH($A98)&gt;=4))</f>
        <v>67.4011689316585</v>
      </c>
      <c r="M98" s="34" t="n">
        <f aca="false">(Scenarios!$B$5+Scenarios!E$12*($A98&gt;=Assumptions!$B$14))*(1+Scenarios!E$13)^MAX(0,YEAR($A98)-Assumptions!$B$18+(MONTH($A98)&gt;=4))</f>
        <v>67.4011689316585</v>
      </c>
      <c r="N98" s="34" t="n">
        <f aca="false">$G98+H98</f>
        <v>78.6557135467058</v>
      </c>
      <c r="O98" s="34" t="n">
        <f aca="false">$G98+I98</f>
        <v>94.0547918052537</v>
      </c>
      <c r="P98" s="34" t="n">
        <f aca="false">$G98+J98</f>
        <v>112.87588745459</v>
      </c>
    </row>
    <row r="99" customFormat="false" ht="15" hidden="false" customHeight="false" outlineLevel="0" collapsed="false">
      <c r="A99" s="36" t="n">
        <f aca="false">Scenarios!A99</f>
        <v>48670</v>
      </c>
      <c r="B99" s="21" t="n">
        <f aca="false">Scenarios!B99</f>
        <v>6.58333333333333</v>
      </c>
      <c r="C99" s="44" t="n">
        <f aca="false">INDEX(Assumptions!$E$22:$E$32,MATCH(YEAR($A99),Assumptions!$A$22:$A$32,0))</f>
        <v>1.21505902289739</v>
      </c>
      <c r="D99" s="34" t="n">
        <f aca="false">Assumptions!$B$5+(INDEX(Assumptions!$B$22:$B$32,MATCH(YEAR($A99),Assumptions!$A$22:$A$32,0))*$C99-Assumptions!$B$5)*MIN(1,$B99/Assumptions!$B$11)</f>
        <v>57.1077740761774</v>
      </c>
      <c r="E99" s="34" t="n">
        <f aca="false">Assumptions!$B$5+(INDEX(Assumptions!$C$22:$C$32,MATCH(YEAR($A99),Assumptions!$A$22:$A$32,0))*$C99-Assumptions!$B$5)*MIN(1,$B99/Assumptions!$B$11)</f>
        <v>89.9143676944069</v>
      </c>
      <c r="F99" s="34" t="n">
        <f aca="false">Assumptions!$B$5+(INDEX(Assumptions!$D$22:$D$32,MATCH(YEAR($A99),Assumptions!$A$22:$A$32,0))*$C99-Assumptions!$B$5)*MIN(1,$B99/Assumptions!$B$11)</f>
        <v>130.011315450021</v>
      </c>
      <c r="G99" s="34" t="n">
        <f aca="false">(Scenarios!$B$7-Scenarios!$B$8)*(1+Assumptions!$B$10)^$B99</f>
        <v>51.9355449951358</v>
      </c>
      <c r="H99" s="34" t="n">
        <f aca="false">D99*100/(Assumptions!$B$7*Assumptions!$B$6)</f>
        <v>26.8058028945093</v>
      </c>
      <c r="I99" s="34" t="n">
        <f aca="false">E99*100/(Assumptions!$B$7*Assumptions!$B$6)</f>
        <v>42.2048811530573</v>
      </c>
      <c r="J99" s="34" t="n">
        <f aca="false">F99*100/(Assumptions!$B$7*Assumptions!$B$6)</f>
        <v>61.0259768023936</v>
      </c>
      <c r="K99" s="34" t="n">
        <f aca="false">(Scenarios!$B$5+Scenarios!C$12*($A99&gt;=Assumptions!$B$14))*(1+Scenarios!C$13)^MAX(0,YEAR($A99)-Assumptions!$B$18+(MONTH($A99)&gt;=4))</f>
        <v>52.95</v>
      </c>
      <c r="L99" s="34" t="n">
        <f aca="false">(Scenarios!$B$5+Scenarios!D$12*($A99&gt;=Assumptions!$B$14))*(1+Scenarios!D$13)^MAX(0,YEAR($A99)-Assumptions!$B$18+(MONTH($A99)&gt;=4))</f>
        <v>69.1198987394158</v>
      </c>
      <c r="M99" s="34" t="n">
        <f aca="false">(Scenarios!$B$5+Scenarios!E$12*($A99&gt;=Assumptions!$B$14))*(1+Scenarios!E$13)^MAX(0,YEAR($A99)-Assumptions!$B$18+(MONTH($A99)&gt;=4))</f>
        <v>69.1198987394158</v>
      </c>
      <c r="N99" s="34" t="n">
        <f aca="false">$G99+H99</f>
        <v>78.7413478896451</v>
      </c>
      <c r="O99" s="34" t="n">
        <f aca="false">$G99+I99</f>
        <v>94.1404261481931</v>
      </c>
      <c r="P99" s="34" t="n">
        <f aca="false">$G99+J99</f>
        <v>112.961521797529</v>
      </c>
    </row>
    <row r="100" customFormat="false" ht="15" hidden="false" customHeight="false" outlineLevel="0" collapsed="false">
      <c r="A100" s="36" t="n">
        <f aca="false">Scenarios!A100</f>
        <v>48700</v>
      </c>
      <c r="B100" s="21" t="n">
        <f aca="false">Scenarios!B100</f>
        <v>6.66666666666667</v>
      </c>
      <c r="C100" s="44" t="n">
        <f aca="false">INDEX(Assumptions!$E$22:$E$32,MATCH(YEAR($A100),Assumptions!$A$22:$A$32,0))</f>
        <v>1.21505902289739</v>
      </c>
      <c r="D100" s="34" t="n">
        <f aca="false">Assumptions!$B$5+(INDEX(Assumptions!$B$22:$B$32,MATCH(YEAR($A100),Assumptions!$A$22:$A$32,0))*$C100-Assumptions!$B$5)*MIN(1,$B100/Assumptions!$B$11)</f>
        <v>57.1077740761774</v>
      </c>
      <c r="E100" s="34" t="n">
        <f aca="false">Assumptions!$B$5+(INDEX(Assumptions!$C$22:$C$32,MATCH(YEAR($A100),Assumptions!$A$22:$A$32,0))*$C100-Assumptions!$B$5)*MIN(1,$B100/Assumptions!$B$11)</f>
        <v>89.9143676944069</v>
      </c>
      <c r="F100" s="34" t="n">
        <f aca="false">Assumptions!$B$5+(INDEX(Assumptions!$D$22:$D$32,MATCH(YEAR($A100),Assumptions!$A$22:$A$32,0))*$C100-Assumptions!$B$5)*MIN(1,$B100/Assumptions!$B$11)</f>
        <v>130.011315450021</v>
      </c>
      <c r="G100" s="34" t="n">
        <f aca="false">(Scenarios!$B$7-Scenarios!$B$8)*(1+Assumptions!$B$10)^$B100</f>
        <v>52.0213207701548</v>
      </c>
      <c r="H100" s="34" t="n">
        <f aca="false">D100*100/(Assumptions!$B$7*Assumptions!$B$6)</f>
        <v>26.8058028945093</v>
      </c>
      <c r="I100" s="34" t="n">
        <f aca="false">E100*100/(Assumptions!$B$7*Assumptions!$B$6)</f>
        <v>42.2048811530573</v>
      </c>
      <c r="J100" s="34" t="n">
        <f aca="false">F100*100/(Assumptions!$B$7*Assumptions!$B$6)</f>
        <v>61.0259768023936</v>
      </c>
      <c r="K100" s="34" t="n">
        <f aca="false">(Scenarios!$B$5+Scenarios!C$12*($A100&gt;=Assumptions!$B$14))*(1+Scenarios!C$13)^MAX(0,YEAR($A100)-Assumptions!$B$18+(MONTH($A100)&gt;=4))</f>
        <v>52.95</v>
      </c>
      <c r="L100" s="34" t="n">
        <f aca="false">(Scenarios!$B$5+Scenarios!D$12*($A100&gt;=Assumptions!$B$14))*(1+Scenarios!D$13)^MAX(0,YEAR($A100)-Assumptions!$B$18+(MONTH($A100)&gt;=4))</f>
        <v>69.1198987394158</v>
      </c>
      <c r="M100" s="34" t="n">
        <f aca="false">(Scenarios!$B$5+Scenarios!E$12*($A100&gt;=Assumptions!$B$14))*(1+Scenarios!E$13)^MAX(0,YEAR($A100)-Assumptions!$B$18+(MONTH($A100)&gt;=4))</f>
        <v>69.1198987394158</v>
      </c>
      <c r="N100" s="34" t="n">
        <f aca="false">$G100+H100</f>
        <v>78.8271236646641</v>
      </c>
      <c r="O100" s="34" t="n">
        <f aca="false">$G100+I100</f>
        <v>94.2262019232121</v>
      </c>
      <c r="P100" s="34" t="n">
        <f aca="false">$G100+J100</f>
        <v>113.047297572548</v>
      </c>
    </row>
    <row r="101" customFormat="false" ht="15" hidden="false" customHeight="false" outlineLevel="0" collapsed="false">
      <c r="A101" s="36" t="n">
        <f aca="false">Scenarios!A101</f>
        <v>48731</v>
      </c>
      <c r="B101" s="21" t="n">
        <f aca="false">Scenarios!B101</f>
        <v>6.75</v>
      </c>
      <c r="C101" s="44" t="n">
        <f aca="false">INDEX(Assumptions!$E$22:$E$32,MATCH(YEAR($A101),Assumptions!$A$22:$A$32,0))</f>
        <v>1.21505902289739</v>
      </c>
      <c r="D101" s="34" t="n">
        <f aca="false">Assumptions!$B$5+(INDEX(Assumptions!$B$22:$B$32,MATCH(YEAR($A101),Assumptions!$A$22:$A$32,0))*$C101-Assumptions!$B$5)*MIN(1,$B101/Assumptions!$B$11)</f>
        <v>57.1077740761774</v>
      </c>
      <c r="E101" s="34" t="n">
        <f aca="false">Assumptions!$B$5+(INDEX(Assumptions!$C$22:$C$32,MATCH(YEAR($A101),Assumptions!$A$22:$A$32,0))*$C101-Assumptions!$B$5)*MIN(1,$B101/Assumptions!$B$11)</f>
        <v>89.9143676944069</v>
      </c>
      <c r="F101" s="34" t="n">
        <f aca="false">Assumptions!$B$5+(INDEX(Assumptions!$D$22:$D$32,MATCH(YEAR($A101),Assumptions!$A$22:$A$32,0))*$C101-Assumptions!$B$5)*MIN(1,$B101/Assumptions!$B$11)</f>
        <v>130.011315450021</v>
      </c>
      <c r="G101" s="34" t="n">
        <f aca="false">(Scenarios!$B$7-Scenarios!$B$8)*(1+Assumptions!$B$10)^$B101</f>
        <v>52.10723821084</v>
      </c>
      <c r="H101" s="34" t="n">
        <f aca="false">D101*100/(Assumptions!$B$7*Assumptions!$B$6)</f>
        <v>26.8058028945093</v>
      </c>
      <c r="I101" s="34" t="n">
        <f aca="false">E101*100/(Assumptions!$B$7*Assumptions!$B$6)</f>
        <v>42.2048811530573</v>
      </c>
      <c r="J101" s="34" t="n">
        <f aca="false">F101*100/(Assumptions!$B$7*Assumptions!$B$6)</f>
        <v>61.0259768023936</v>
      </c>
      <c r="K101" s="34" t="n">
        <f aca="false">(Scenarios!$B$5+Scenarios!C$12*($A101&gt;=Assumptions!$B$14))*(1+Scenarios!C$13)^MAX(0,YEAR($A101)-Assumptions!$B$18+(MONTH($A101)&gt;=4))</f>
        <v>52.95</v>
      </c>
      <c r="L101" s="34" t="n">
        <f aca="false">(Scenarios!$B$5+Scenarios!D$12*($A101&gt;=Assumptions!$B$14))*(1+Scenarios!D$13)^MAX(0,YEAR($A101)-Assumptions!$B$18+(MONTH($A101)&gt;=4))</f>
        <v>69.1198987394158</v>
      </c>
      <c r="M101" s="34" t="n">
        <f aca="false">(Scenarios!$B$5+Scenarios!E$12*($A101&gt;=Assumptions!$B$14))*(1+Scenarios!E$13)^MAX(0,YEAR($A101)-Assumptions!$B$18+(MONTH($A101)&gt;=4))</f>
        <v>69.1198987394158</v>
      </c>
      <c r="N101" s="34" t="n">
        <f aca="false">$G101+H101</f>
        <v>78.9130411053493</v>
      </c>
      <c r="O101" s="34" t="n">
        <f aca="false">$G101+I101</f>
        <v>94.3121193638972</v>
      </c>
      <c r="P101" s="34" t="n">
        <f aca="false">$G101+J101</f>
        <v>113.133215013234</v>
      </c>
    </row>
    <row r="102" customFormat="false" ht="15" hidden="false" customHeight="false" outlineLevel="0" collapsed="false">
      <c r="A102" s="36" t="n">
        <f aca="false">Scenarios!A102</f>
        <v>48761</v>
      </c>
      <c r="B102" s="21" t="n">
        <f aca="false">Scenarios!B102</f>
        <v>6.83333333333333</v>
      </c>
      <c r="C102" s="44" t="n">
        <f aca="false">INDEX(Assumptions!$E$22:$E$32,MATCH(YEAR($A102),Assumptions!$A$22:$A$32,0))</f>
        <v>1.21505902289739</v>
      </c>
      <c r="D102" s="34" t="n">
        <f aca="false">Assumptions!$B$5+(INDEX(Assumptions!$B$22:$B$32,MATCH(YEAR($A102),Assumptions!$A$22:$A$32,0))*$C102-Assumptions!$B$5)*MIN(1,$B102/Assumptions!$B$11)</f>
        <v>57.1077740761774</v>
      </c>
      <c r="E102" s="34" t="n">
        <f aca="false">Assumptions!$B$5+(INDEX(Assumptions!$C$22:$C$32,MATCH(YEAR($A102),Assumptions!$A$22:$A$32,0))*$C102-Assumptions!$B$5)*MIN(1,$B102/Assumptions!$B$11)</f>
        <v>89.9143676944069</v>
      </c>
      <c r="F102" s="34" t="n">
        <f aca="false">Assumptions!$B$5+(INDEX(Assumptions!$D$22:$D$32,MATCH(YEAR($A102),Assumptions!$A$22:$A$32,0))*$C102-Assumptions!$B$5)*MIN(1,$B102/Assumptions!$B$11)</f>
        <v>130.011315450021</v>
      </c>
      <c r="G102" s="34" t="n">
        <f aca="false">(Scenarios!$B$7-Scenarios!$B$8)*(1+Assumptions!$B$10)^$B102</f>
        <v>52.1932975511637</v>
      </c>
      <c r="H102" s="34" t="n">
        <f aca="false">D102*100/(Assumptions!$B$7*Assumptions!$B$6)</f>
        <v>26.8058028945093</v>
      </c>
      <c r="I102" s="34" t="n">
        <f aca="false">E102*100/(Assumptions!$B$7*Assumptions!$B$6)</f>
        <v>42.2048811530573</v>
      </c>
      <c r="J102" s="34" t="n">
        <f aca="false">F102*100/(Assumptions!$B$7*Assumptions!$B$6)</f>
        <v>61.0259768023936</v>
      </c>
      <c r="K102" s="34" t="n">
        <f aca="false">(Scenarios!$B$5+Scenarios!C$12*($A102&gt;=Assumptions!$B$14))*(1+Scenarios!C$13)^MAX(0,YEAR($A102)-Assumptions!$B$18+(MONTH($A102)&gt;=4))</f>
        <v>52.95</v>
      </c>
      <c r="L102" s="34" t="n">
        <f aca="false">(Scenarios!$B$5+Scenarios!D$12*($A102&gt;=Assumptions!$B$14))*(1+Scenarios!D$13)^MAX(0,YEAR($A102)-Assumptions!$B$18+(MONTH($A102)&gt;=4))</f>
        <v>69.1198987394158</v>
      </c>
      <c r="M102" s="34" t="n">
        <f aca="false">(Scenarios!$B$5+Scenarios!E$12*($A102&gt;=Assumptions!$B$14))*(1+Scenarios!E$13)^MAX(0,YEAR($A102)-Assumptions!$B$18+(MONTH($A102)&gt;=4))</f>
        <v>69.1198987394158</v>
      </c>
      <c r="N102" s="34" t="n">
        <f aca="false">$G102+H102</f>
        <v>78.9991004456731</v>
      </c>
      <c r="O102" s="34" t="n">
        <f aca="false">$G102+I102</f>
        <v>94.398178704221</v>
      </c>
      <c r="P102" s="34" t="n">
        <f aca="false">$G102+J102</f>
        <v>113.219274353557</v>
      </c>
    </row>
    <row r="103" customFormat="false" ht="15" hidden="false" customHeight="false" outlineLevel="0" collapsed="false">
      <c r="A103" s="36" t="n">
        <f aca="false">Scenarios!A103</f>
        <v>48792</v>
      </c>
      <c r="B103" s="21" t="n">
        <f aca="false">Scenarios!B103</f>
        <v>6.91666666666667</v>
      </c>
      <c r="C103" s="44" t="n">
        <f aca="false">INDEX(Assumptions!$E$22:$E$32,MATCH(YEAR($A103),Assumptions!$A$22:$A$32,0))</f>
        <v>1.21505902289739</v>
      </c>
      <c r="D103" s="34" t="n">
        <f aca="false">Assumptions!$B$5+(INDEX(Assumptions!$B$22:$B$32,MATCH(YEAR($A103),Assumptions!$A$22:$A$32,0))*$C103-Assumptions!$B$5)*MIN(1,$B103/Assumptions!$B$11)</f>
        <v>57.1077740761774</v>
      </c>
      <c r="E103" s="34" t="n">
        <f aca="false">Assumptions!$B$5+(INDEX(Assumptions!$C$22:$C$32,MATCH(YEAR($A103),Assumptions!$A$22:$A$32,0))*$C103-Assumptions!$B$5)*MIN(1,$B103/Assumptions!$B$11)</f>
        <v>89.9143676944069</v>
      </c>
      <c r="F103" s="34" t="n">
        <f aca="false">Assumptions!$B$5+(INDEX(Assumptions!$D$22:$D$32,MATCH(YEAR($A103),Assumptions!$A$22:$A$32,0))*$C103-Assumptions!$B$5)*MIN(1,$B103/Assumptions!$B$11)</f>
        <v>130.011315450021</v>
      </c>
      <c r="G103" s="34" t="n">
        <f aca="false">(Scenarios!$B$7-Scenarios!$B$8)*(1+Assumptions!$B$10)^$B103</f>
        <v>52.2794990254848</v>
      </c>
      <c r="H103" s="34" t="n">
        <f aca="false">D103*100/(Assumptions!$B$7*Assumptions!$B$6)</f>
        <v>26.8058028945093</v>
      </c>
      <c r="I103" s="34" t="n">
        <f aca="false">E103*100/(Assumptions!$B$7*Assumptions!$B$6)</f>
        <v>42.2048811530573</v>
      </c>
      <c r="J103" s="34" t="n">
        <f aca="false">F103*100/(Assumptions!$B$7*Assumptions!$B$6)</f>
        <v>61.0259768023936</v>
      </c>
      <c r="K103" s="34" t="n">
        <f aca="false">(Scenarios!$B$5+Scenarios!C$12*($A103&gt;=Assumptions!$B$14))*(1+Scenarios!C$13)^MAX(0,YEAR($A103)-Assumptions!$B$18+(MONTH($A103)&gt;=4))</f>
        <v>52.95</v>
      </c>
      <c r="L103" s="34" t="n">
        <f aca="false">(Scenarios!$B$5+Scenarios!D$12*($A103&gt;=Assumptions!$B$14))*(1+Scenarios!D$13)^MAX(0,YEAR($A103)-Assumptions!$B$18+(MONTH($A103)&gt;=4))</f>
        <v>69.1198987394158</v>
      </c>
      <c r="M103" s="34" t="n">
        <f aca="false">(Scenarios!$B$5+Scenarios!E$12*($A103&gt;=Assumptions!$B$14))*(1+Scenarios!E$13)^MAX(0,YEAR($A103)-Assumptions!$B$18+(MONTH($A103)&gt;=4))</f>
        <v>69.1198987394158</v>
      </c>
      <c r="N103" s="34" t="n">
        <f aca="false">$G103+H103</f>
        <v>79.0853019199941</v>
      </c>
      <c r="O103" s="34" t="n">
        <f aca="false">$G103+I103</f>
        <v>94.484380178542</v>
      </c>
      <c r="P103" s="34" t="n">
        <f aca="false">$G103+J103</f>
        <v>113.305475827878</v>
      </c>
    </row>
    <row r="104" customFormat="false" ht="15" hidden="false" customHeight="false" outlineLevel="0" collapsed="false">
      <c r="A104" s="36" t="n">
        <f aca="false">Scenarios!A104</f>
        <v>48823</v>
      </c>
      <c r="B104" s="21" t="n">
        <f aca="false">Scenarios!B104</f>
        <v>7</v>
      </c>
      <c r="C104" s="44" t="n">
        <f aca="false">INDEX(Assumptions!$E$22:$E$32,MATCH(YEAR($A104),Assumptions!$A$22:$A$32,0))</f>
        <v>1.21505902289739</v>
      </c>
      <c r="D104" s="34" t="n">
        <f aca="false">Assumptions!$B$5+(INDEX(Assumptions!$B$22:$B$32,MATCH(YEAR($A104),Assumptions!$A$22:$A$32,0))*$C104-Assumptions!$B$5)*MIN(1,$B104/Assumptions!$B$11)</f>
        <v>57.1077740761774</v>
      </c>
      <c r="E104" s="34" t="n">
        <f aca="false">Assumptions!$B$5+(INDEX(Assumptions!$C$22:$C$32,MATCH(YEAR($A104),Assumptions!$A$22:$A$32,0))*$C104-Assumptions!$B$5)*MIN(1,$B104/Assumptions!$B$11)</f>
        <v>89.9143676944069</v>
      </c>
      <c r="F104" s="34" t="n">
        <f aca="false">Assumptions!$B$5+(INDEX(Assumptions!$D$22:$D$32,MATCH(YEAR($A104),Assumptions!$A$22:$A$32,0))*$C104-Assumptions!$B$5)*MIN(1,$B104/Assumptions!$B$11)</f>
        <v>130.011315450021</v>
      </c>
      <c r="G104" s="34" t="n">
        <f aca="false">(Scenarios!$B$7-Scenarios!$B$8)*(1+Assumptions!$B$10)^$B104</f>
        <v>52.365842868549</v>
      </c>
      <c r="H104" s="34" t="n">
        <f aca="false">D104*100/(Assumptions!$B$7*Assumptions!$B$6)</f>
        <v>26.8058028945093</v>
      </c>
      <c r="I104" s="34" t="n">
        <f aca="false">E104*100/(Assumptions!$B$7*Assumptions!$B$6)</f>
        <v>42.2048811530573</v>
      </c>
      <c r="J104" s="34" t="n">
        <f aca="false">F104*100/(Assumptions!$B$7*Assumptions!$B$6)</f>
        <v>61.0259768023936</v>
      </c>
      <c r="K104" s="34" t="n">
        <f aca="false">(Scenarios!$B$5+Scenarios!C$12*($A104&gt;=Assumptions!$B$14))*(1+Scenarios!C$13)^MAX(0,YEAR($A104)-Assumptions!$B$18+(MONTH($A104)&gt;=4))</f>
        <v>52.95</v>
      </c>
      <c r="L104" s="34" t="n">
        <f aca="false">(Scenarios!$B$5+Scenarios!D$12*($A104&gt;=Assumptions!$B$14))*(1+Scenarios!D$13)^MAX(0,YEAR($A104)-Assumptions!$B$18+(MONTH($A104)&gt;=4))</f>
        <v>69.1198987394158</v>
      </c>
      <c r="M104" s="34" t="n">
        <f aca="false">(Scenarios!$B$5+Scenarios!E$12*($A104&gt;=Assumptions!$B$14))*(1+Scenarios!E$13)^MAX(0,YEAR($A104)-Assumptions!$B$18+(MONTH($A104)&gt;=4))</f>
        <v>69.1198987394158</v>
      </c>
      <c r="N104" s="34" t="n">
        <f aca="false">$G104+H104</f>
        <v>79.1716457630584</v>
      </c>
      <c r="O104" s="34" t="n">
        <f aca="false">$G104+I104</f>
        <v>94.5707240216063</v>
      </c>
      <c r="P104" s="34" t="n">
        <f aca="false">$G104+J104</f>
        <v>113.391819670943</v>
      </c>
    </row>
    <row r="105" customFormat="false" ht="15" hidden="false" customHeight="false" outlineLevel="0" collapsed="false">
      <c r="A105" s="36" t="n">
        <f aca="false">Scenarios!A105</f>
        <v>48853</v>
      </c>
      <c r="B105" s="21" t="n">
        <f aca="false">Scenarios!B105</f>
        <v>7.08333333333333</v>
      </c>
      <c r="C105" s="44" t="n">
        <f aca="false">INDEX(Assumptions!$E$22:$E$32,MATCH(YEAR($A105),Assumptions!$A$22:$A$32,0))</f>
        <v>1.21505902289739</v>
      </c>
      <c r="D105" s="34" t="n">
        <f aca="false">Assumptions!$B$5+(INDEX(Assumptions!$B$22:$B$32,MATCH(YEAR($A105),Assumptions!$A$22:$A$32,0))*$C105-Assumptions!$B$5)*MIN(1,$B105/Assumptions!$B$11)</f>
        <v>57.1077740761774</v>
      </c>
      <c r="E105" s="34" t="n">
        <f aca="false">Assumptions!$B$5+(INDEX(Assumptions!$C$22:$C$32,MATCH(YEAR($A105),Assumptions!$A$22:$A$32,0))*$C105-Assumptions!$B$5)*MIN(1,$B105/Assumptions!$B$11)</f>
        <v>89.9143676944069</v>
      </c>
      <c r="F105" s="34" t="n">
        <f aca="false">Assumptions!$B$5+(INDEX(Assumptions!$D$22:$D$32,MATCH(YEAR($A105),Assumptions!$A$22:$A$32,0))*$C105-Assumptions!$B$5)*MIN(1,$B105/Assumptions!$B$11)</f>
        <v>130.011315450021</v>
      </c>
      <c r="G105" s="34" t="n">
        <f aca="false">(Scenarios!$B$7-Scenarios!$B$8)*(1+Assumptions!$B$10)^$B105</f>
        <v>52.45232931549</v>
      </c>
      <c r="H105" s="34" t="n">
        <f aca="false">D105*100/(Assumptions!$B$7*Assumptions!$B$6)</f>
        <v>26.8058028945093</v>
      </c>
      <c r="I105" s="34" t="n">
        <f aca="false">E105*100/(Assumptions!$B$7*Assumptions!$B$6)</f>
        <v>42.2048811530573</v>
      </c>
      <c r="J105" s="34" t="n">
        <f aca="false">F105*100/(Assumptions!$B$7*Assumptions!$B$6)</f>
        <v>61.0259768023936</v>
      </c>
      <c r="K105" s="34" t="n">
        <f aca="false">(Scenarios!$B$5+Scenarios!C$12*($A105&gt;=Assumptions!$B$14))*(1+Scenarios!C$13)^MAX(0,YEAR($A105)-Assumptions!$B$18+(MONTH($A105)&gt;=4))</f>
        <v>52.95</v>
      </c>
      <c r="L105" s="34" t="n">
        <f aca="false">(Scenarios!$B$5+Scenarios!D$12*($A105&gt;=Assumptions!$B$14))*(1+Scenarios!D$13)^MAX(0,YEAR($A105)-Assumptions!$B$18+(MONTH($A105)&gt;=4))</f>
        <v>69.1198987394158</v>
      </c>
      <c r="M105" s="34" t="n">
        <f aca="false">(Scenarios!$B$5+Scenarios!E$12*($A105&gt;=Assumptions!$B$14))*(1+Scenarios!E$13)^MAX(0,YEAR($A105)-Assumptions!$B$18+(MONTH($A105)&gt;=4))</f>
        <v>69.1198987394158</v>
      </c>
      <c r="N105" s="34" t="n">
        <f aca="false">$G105+H105</f>
        <v>79.2581322099993</v>
      </c>
      <c r="O105" s="34" t="n">
        <f aca="false">$G105+I105</f>
        <v>94.6572104685473</v>
      </c>
      <c r="P105" s="34" t="n">
        <f aca="false">$G105+J105</f>
        <v>113.478306117884</v>
      </c>
    </row>
    <row r="106" customFormat="false" ht="15" hidden="false" customHeight="false" outlineLevel="0" collapsed="false">
      <c r="A106" s="36" t="n">
        <f aca="false">Scenarios!A106</f>
        <v>48884</v>
      </c>
      <c r="B106" s="21" t="n">
        <f aca="false">Scenarios!B106</f>
        <v>7.16666666666667</v>
      </c>
      <c r="C106" s="44" t="n">
        <f aca="false">INDEX(Assumptions!$E$22:$E$32,MATCH(YEAR($A106),Assumptions!$A$22:$A$32,0))</f>
        <v>1.21505902289739</v>
      </c>
      <c r="D106" s="34" t="n">
        <f aca="false">Assumptions!$B$5+(INDEX(Assumptions!$B$22:$B$32,MATCH(YEAR($A106),Assumptions!$A$22:$A$32,0))*$C106-Assumptions!$B$5)*MIN(1,$B106/Assumptions!$B$11)</f>
        <v>57.1077740761774</v>
      </c>
      <c r="E106" s="34" t="n">
        <f aca="false">Assumptions!$B$5+(INDEX(Assumptions!$C$22:$C$32,MATCH(YEAR($A106),Assumptions!$A$22:$A$32,0))*$C106-Assumptions!$B$5)*MIN(1,$B106/Assumptions!$B$11)</f>
        <v>89.9143676944069</v>
      </c>
      <c r="F106" s="34" t="n">
        <f aca="false">Assumptions!$B$5+(INDEX(Assumptions!$D$22:$D$32,MATCH(YEAR($A106),Assumptions!$A$22:$A$32,0))*$C106-Assumptions!$B$5)*MIN(1,$B106/Assumptions!$B$11)</f>
        <v>130.011315450021</v>
      </c>
      <c r="G106" s="34" t="n">
        <f aca="false">(Scenarios!$B$7-Scenarios!$B$8)*(1+Assumptions!$B$10)^$B106</f>
        <v>52.5389586018296</v>
      </c>
      <c r="H106" s="34" t="n">
        <f aca="false">D106*100/(Assumptions!$B$7*Assumptions!$B$6)</f>
        <v>26.8058028945093</v>
      </c>
      <c r="I106" s="34" t="n">
        <f aca="false">E106*100/(Assumptions!$B$7*Assumptions!$B$6)</f>
        <v>42.2048811530573</v>
      </c>
      <c r="J106" s="34" t="n">
        <f aca="false">F106*100/(Assumptions!$B$7*Assumptions!$B$6)</f>
        <v>61.0259768023936</v>
      </c>
      <c r="K106" s="34" t="n">
        <f aca="false">(Scenarios!$B$5+Scenarios!C$12*($A106&gt;=Assumptions!$B$14))*(1+Scenarios!C$13)^MAX(0,YEAR($A106)-Assumptions!$B$18+(MONTH($A106)&gt;=4))</f>
        <v>52.95</v>
      </c>
      <c r="L106" s="34" t="n">
        <f aca="false">(Scenarios!$B$5+Scenarios!D$12*($A106&gt;=Assumptions!$B$14))*(1+Scenarios!D$13)^MAX(0,YEAR($A106)-Assumptions!$B$18+(MONTH($A106)&gt;=4))</f>
        <v>69.1198987394158</v>
      </c>
      <c r="M106" s="34" t="n">
        <f aca="false">(Scenarios!$B$5+Scenarios!E$12*($A106&gt;=Assumptions!$B$14))*(1+Scenarios!E$13)^MAX(0,YEAR($A106)-Assumptions!$B$18+(MONTH($A106)&gt;=4))</f>
        <v>69.1198987394158</v>
      </c>
      <c r="N106" s="34" t="n">
        <f aca="false">$G106+H106</f>
        <v>79.344761496339</v>
      </c>
      <c r="O106" s="34" t="n">
        <f aca="false">$G106+I106</f>
        <v>94.7438397548869</v>
      </c>
      <c r="P106" s="34" t="n">
        <f aca="false">$G106+J106</f>
        <v>113.564935404223</v>
      </c>
    </row>
    <row r="107" customFormat="false" ht="15" hidden="false" customHeight="false" outlineLevel="0" collapsed="false">
      <c r="A107" s="36" t="n">
        <f aca="false">Scenarios!A107</f>
        <v>48914</v>
      </c>
      <c r="B107" s="21" t="n">
        <f aca="false">Scenarios!B107</f>
        <v>7.25</v>
      </c>
      <c r="C107" s="44" t="n">
        <f aca="false">INDEX(Assumptions!$E$22:$E$32,MATCH(YEAR($A107),Assumptions!$A$22:$A$32,0))</f>
        <v>1.21505902289739</v>
      </c>
      <c r="D107" s="34" t="n">
        <f aca="false">Assumptions!$B$5+(INDEX(Assumptions!$B$22:$B$32,MATCH(YEAR($A107),Assumptions!$A$22:$A$32,0))*$C107-Assumptions!$B$5)*MIN(1,$B107/Assumptions!$B$11)</f>
        <v>57.1077740761774</v>
      </c>
      <c r="E107" s="34" t="n">
        <f aca="false">Assumptions!$B$5+(INDEX(Assumptions!$C$22:$C$32,MATCH(YEAR($A107),Assumptions!$A$22:$A$32,0))*$C107-Assumptions!$B$5)*MIN(1,$B107/Assumptions!$B$11)</f>
        <v>89.9143676944069</v>
      </c>
      <c r="F107" s="34" t="n">
        <f aca="false">Assumptions!$B$5+(INDEX(Assumptions!$D$22:$D$32,MATCH(YEAR($A107),Assumptions!$A$22:$A$32,0))*$C107-Assumptions!$B$5)*MIN(1,$B107/Assumptions!$B$11)</f>
        <v>130.011315450021</v>
      </c>
      <c r="G107" s="34" t="n">
        <f aca="false">(Scenarios!$B$7-Scenarios!$B$8)*(1+Assumptions!$B$10)^$B107</f>
        <v>52.6257309634788</v>
      </c>
      <c r="H107" s="34" t="n">
        <f aca="false">D107*100/(Assumptions!$B$7*Assumptions!$B$6)</f>
        <v>26.8058028945093</v>
      </c>
      <c r="I107" s="34" t="n">
        <f aca="false">E107*100/(Assumptions!$B$7*Assumptions!$B$6)</f>
        <v>42.2048811530573</v>
      </c>
      <c r="J107" s="34" t="n">
        <f aca="false">F107*100/(Assumptions!$B$7*Assumptions!$B$6)</f>
        <v>61.0259768023936</v>
      </c>
      <c r="K107" s="34" t="n">
        <f aca="false">(Scenarios!$B$5+Scenarios!C$12*($A107&gt;=Assumptions!$B$14))*(1+Scenarios!C$13)^MAX(0,YEAR($A107)-Assumptions!$B$18+(MONTH($A107)&gt;=4))</f>
        <v>52.95</v>
      </c>
      <c r="L107" s="34" t="n">
        <f aca="false">(Scenarios!$B$5+Scenarios!D$12*($A107&gt;=Assumptions!$B$14))*(1+Scenarios!D$13)^MAX(0,YEAR($A107)-Assumptions!$B$18+(MONTH($A107)&gt;=4))</f>
        <v>69.1198987394158</v>
      </c>
      <c r="M107" s="34" t="n">
        <f aca="false">(Scenarios!$B$5+Scenarios!E$12*($A107&gt;=Assumptions!$B$14))*(1+Scenarios!E$13)^MAX(0,YEAR($A107)-Assumptions!$B$18+(MONTH($A107)&gt;=4))</f>
        <v>69.1198987394158</v>
      </c>
      <c r="N107" s="34" t="n">
        <f aca="false">$G107+H107</f>
        <v>79.4315338579881</v>
      </c>
      <c r="O107" s="34" t="n">
        <f aca="false">$G107+I107</f>
        <v>94.830612116536</v>
      </c>
      <c r="P107" s="34" t="n">
        <f aca="false">$G107+J107</f>
        <v>113.651707765872</v>
      </c>
    </row>
    <row r="108" customFormat="false" ht="15" hidden="false" customHeight="false" outlineLevel="0" collapsed="false">
      <c r="A108" s="36" t="n">
        <f aca="false">Scenarios!A108</f>
        <v>48945</v>
      </c>
      <c r="B108" s="21" t="n">
        <f aca="false">Scenarios!B108</f>
        <v>7.33333333333333</v>
      </c>
      <c r="C108" s="44" t="n">
        <f aca="false">INDEX(Assumptions!$E$22:$E$32,MATCH(YEAR($A108),Assumptions!$A$22:$A$32,0))</f>
        <v>1.23936020335534</v>
      </c>
      <c r="D108" s="34" t="n">
        <f aca="false">Assumptions!$B$5+(INDEX(Assumptions!$B$22:$B$32,MATCH(YEAR($A108),Assumptions!$A$22:$A$32,0))*$C108-Assumptions!$B$5)*MIN(1,$B108/Assumptions!$B$11)</f>
        <v>59.4892897610563</v>
      </c>
      <c r="E108" s="34" t="n">
        <f aca="false">Assumptions!$B$5+(INDEX(Assumptions!$C$22:$C$32,MATCH(YEAR($A108),Assumptions!$A$22:$A$32,0))*$C108-Assumptions!$B$5)*MIN(1,$B108/Assumptions!$B$11)</f>
        <v>94.1913754550058</v>
      </c>
      <c r="F108" s="34" t="n">
        <f aca="false">Assumptions!$B$5+(INDEX(Assumptions!$D$22:$D$32,MATCH(YEAR($A108),Assumptions!$A$22:$A$32,0))*$C108-Assumptions!$B$5)*MIN(1,$B108/Assumptions!$B$11)</f>
        <v>135.090262165732</v>
      </c>
      <c r="G108" s="34" t="n">
        <f aca="false">(Scenarios!$B$7-Scenarios!$B$8)*(1+Assumptions!$B$10)^$B108</f>
        <v>52.7126466367379</v>
      </c>
      <c r="H108" s="34" t="n">
        <f aca="false">D108*100/(Assumptions!$B$7*Assumptions!$B$6)</f>
        <v>27.9236619088336</v>
      </c>
      <c r="I108" s="34" t="n">
        <f aca="false">E108*100/(Assumptions!$B$7*Assumptions!$B$6)</f>
        <v>44.2124646889865</v>
      </c>
      <c r="J108" s="34" t="n">
        <f aca="false">F108*100/(Assumptions!$B$7*Assumptions!$B$6)</f>
        <v>63.4099822513095</v>
      </c>
      <c r="K108" s="34" t="n">
        <f aca="false">(Scenarios!$B$5+Scenarios!C$12*($A108&gt;=Assumptions!$B$14))*(1+Scenarios!C$13)^MAX(0,YEAR($A108)-Assumptions!$B$18+(MONTH($A108)&gt;=4))</f>
        <v>52.95</v>
      </c>
      <c r="L108" s="34" t="n">
        <f aca="false">(Scenarios!$B$5+Scenarios!D$12*($A108&gt;=Assumptions!$B$14))*(1+Scenarios!D$13)^MAX(0,YEAR($A108)-Assumptions!$B$18+(MONTH($A108)&gt;=4))</f>
        <v>69.1198987394158</v>
      </c>
      <c r="M108" s="34" t="n">
        <f aca="false">(Scenarios!$B$5+Scenarios!E$12*($A108&gt;=Assumptions!$B$14))*(1+Scenarios!E$13)^MAX(0,YEAR($A108)-Assumptions!$B$18+(MONTH($A108)&gt;=4))</f>
        <v>69.1198987394158</v>
      </c>
      <c r="N108" s="34" t="n">
        <f aca="false">$G108+H108</f>
        <v>80.6363085455715</v>
      </c>
      <c r="O108" s="34" t="n">
        <f aca="false">$G108+I108</f>
        <v>96.9251113257244</v>
      </c>
      <c r="P108" s="34" t="n">
        <f aca="false">$G108+J108</f>
        <v>116.122628888047</v>
      </c>
    </row>
    <row r="109" customFormat="false" ht="15" hidden="false" customHeight="false" outlineLevel="0" collapsed="false">
      <c r="A109" s="36" t="n">
        <f aca="false">Scenarios!A109</f>
        <v>48976</v>
      </c>
      <c r="B109" s="21" t="n">
        <f aca="false">Scenarios!B109</f>
        <v>7.41666666666667</v>
      </c>
      <c r="C109" s="44" t="n">
        <f aca="false">INDEX(Assumptions!$E$22:$E$32,MATCH(YEAR($A109),Assumptions!$A$22:$A$32,0))</f>
        <v>1.23936020335534</v>
      </c>
      <c r="D109" s="34" t="n">
        <f aca="false">Assumptions!$B$5+(INDEX(Assumptions!$B$22:$B$32,MATCH(YEAR($A109),Assumptions!$A$22:$A$32,0))*$C109-Assumptions!$B$5)*MIN(1,$B109/Assumptions!$B$11)</f>
        <v>59.4892897610563</v>
      </c>
      <c r="E109" s="34" t="n">
        <f aca="false">Assumptions!$B$5+(INDEX(Assumptions!$C$22:$C$32,MATCH(YEAR($A109),Assumptions!$A$22:$A$32,0))*$C109-Assumptions!$B$5)*MIN(1,$B109/Assumptions!$B$11)</f>
        <v>94.1913754550058</v>
      </c>
      <c r="F109" s="34" t="n">
        <f aca="false">Assumptions!$B$5+(INDEX(Assumptions!$D$22:$D$32,MATCH(YEAR($A109),Assumptions!$A$22:$A$32,0))*$C109-Assumptions!$B$5)*MIN(1,$B109/Assumptions!$B$11)</f>
        <v>135.090262165732</v>
      </c>
      <c r="G109" s="34" t="n">
        <f aca="false">(Scenarios!$B$7-Scenarios!$B$8)*(1+Assumptions!$B$10)^$B109</f>
        <v>52.7997058582979</v>
      </c>
      <c r="H109" s="34" t="n">
        <f aca="false">D109*100/(Assumptions!$B$7*Assumptions!$B$6)</f>
        <v>27.9236619088336</v>
      </c>
      <c r="I109" s="34" t="n">
        <f aca="false">E109*100/(Assumptions!$B$7*Assumptions!$B$6)</f>
        <v>44.2124646889865</v>
      </c>
      <c r="J109" s="34" t="n">
        <f aca="false">F109*100/(Assumptions!$B$7*Assumptions!$B$6)</f>
        <v>63.4099822513095</v>
      </c>
      <c r="K109" s="34" t="n">
        <f aca="false">(Scenarios!$B$5+Scenarios!C$12*($A109&gt;=Assumptions!$B$14))*(1+Scenarios!C$13)^MAX(0,YEAR($A109)-Assumptions!$B$18+(MONTH($A109)&gt;=4))</f>
        <v>52.95</v>
      </c>
      <c r="L109" s="34" t="n">
        <f aca="false">(Scenarios!$B$5+Scenarios!D$12*($A109&gt;=Assumptions!$B$14))*(1+Scenarios!D$13)^MAX(0,YEAR($A109)-Assumptions!$B$18+(MONTH($A109)&gt;=4))</f>
        <v>69.1198987394158</v>
      </c>
      <c r="M109" s="34" t="n">
        <f aca="false">(Scenarios!$B$5+Scenarios!E$12*($A109&gt;=Assumptions!$B$14))*(1+Scenarios!E$13)^MAX(0,YEAR($A109)-Assumptions!$B$18+(MONTH($A109)&gt;=4))</f>
        <v>69.1198987394158</v>
      </c>
      <c r="N109" s="34" t="n">
        <f aca="false">$G109+H109</f>
        <v>80.7233677671315</v>
      </c>
      <c r="O109" s="34" t="n">
        <f aca="false">$G109+I109</f>
        <v>97.0121705472844</v>
      </c>
      <c r="P109" s="34" t="n">
        <f aca="false">$G109+J109</f>
        <v>116.209688109607</v>
      </c>
    </row>
    <row r="110" customFormat="false" ht="15" hidden="false" customHeight="false" outlineLevel="0" collapsed="false">
      <c r="A110" s="36" t="n">
        <f aca="false">Scenarios!A110</f>
        <v>49004</v>
      </c>
      <c r="B110" s="21" t="n">
        <f aca="false">Scenarios!B110</f>
        <v>7.5</v>
      </c>
      <c r="C110" s="44" t="n">
        <f aca="false">INDEX(Assumptions!$E$22:$E$32,MATCH(YEAR($A110),Assumptions!$A$22:$A$32,0))</f>
        <v>1.23936020335534</v>
      </c>
      <c r="D110" s="34" t="n">
        <f aca="false">Assumptions!$B$5+(INDEX(Assumptions!$B$22:$B$32,MATCH(YEAR($A110),Assumptions!$A$22:$A$32,0))*$C110-Assumptions!$B$5)*MIN(1,$B110/Assumptions!$B$11)</f>
        <v>59.4892897610563</v>
      </c>
      <c r="E110" s="34" t="n">
        <f aca="false">Assumptions!$B$5+(INDEX(Assumptions!$C$22:$C$32,MATCH(YEAR($A110),Assumptions!$A$22:$A$32,0))*$C110-Assumptions!$B$5)*MIN(1,$B110/Assumptions!$B$11)</f>
        <v>94.1913754550058</v>
      </c>
      <c r="F110" s="34" t="n">
        <f aca="false">Assumptions!$B$5+(INDEX(Assumptions!$D$22:$D$32,MATCH(YEAR($A110),Assumptions!$A$22:$A$32,0))*$C110-Assumptions!$B$5)*MIN(1,$B110/Assumptions!$B$11)</f>
        <v>135.090262165732</v>
      </c>
      <c r="G110" s="34" t="n">
        <f aca="false">(Scenarios!$B$7-Scenarios!$B$8)*(1+Assumptions!$B$10)^$B110</f>
        <v>52.8869088652403</v>
      </c>
      <c r="H110" s="34" t="n">
        <f aca="false">D110*100/(Assumptions!$B$7*Assumptions!$B$6)</f>
        <v>27.9236619088336</v>
      </c>
      <c r="I110" s="34" t="n">
        <f aca="false">E110*100/(Assumptions!$B$7*Assumptions!$B$6)</f>
        <v>44.2124646889865</v>
      </c>
      <c r="J110" s="34" t="n">
        <f aca="false">F110*100/(Assumptions!$B$7*Assumptions!$B$6)</f>
        <v>63.4099822513095</v>
      </c>
      <c r="K110" s="34" t="n">
        <f aca="false">(Scenarios!$B$5+Scenarios!C$12*($A110&gt;=Assumptions!$B$14))*(1+Scenarios!C$13)^MAX(0,YEAR($A110)-Assumptions!$B$18+(MONTH($A110)&gt;=4))</f>
        <v>52.95</v>
      </c>
      <c r="L110" s="34" t="n">
        <f aca="false">(Scenarios!$B$5+Scenarios!D$12*($A110&gt;=Assumptions!$B$14))*(1+Scenarios!D$13)^MAX(0,YEAR($A110)-Assumptions!$B$18+(MONTH($A110)&gt;=4))</f>
        <v>69.1198987394158</v>
      </c>
      <c r="M110" s="34" t="n">
        <f aca="false">(Scenarios!$B$5+Scenarios!E$12*($A110&gt;=Assumptions!$B$14))*(1+Scenarios!E$13)^MAX(0,YEAR($A110)-Assumptions!$B$18+(MONTH($A110)&gt;=4))</f>
        <v>69.1198987394158</v>
      </c>
      <c r="N110" s="34" t="n">
        <f aca="false">$G110+H110</f>
        <v>80.8105707740739</v>
      </c>
      <c r="O110" s="34" t="n">
        <f aca="false">$G110+I110</f>
        <v>97.0993735542268</v>
      </c>
      <c r="P110" s="34" t="n">
        <f aca="false">$G110+J110</f>
        <v>116.29689111655</v>
      </c>
    </row>
    <row r="111" customFormat="false" ht="15" hidden="false" customHeight="false" outlineLevel="0" collapsed="false">
      <c r="A111" s="36" t="n">
        <f aca="false">Scenarios!A111</f>
        <v>49035</v>
      </c>
      <c r="B111" s="21" t="n">
        <f aca="false">Scenarios!B111</f>
        <v>7.58333333333333</v>
      </c>
      <c r="C111" s="44" t="n">
        <f aca="false">INDEX(Assumptions!$E$22:$E$32,MATCH(YEAR($A111),Assumptions!$A$22:$A$32,0))</f>
        <v>1.23936020335534</v>
      </c>
      <c r="D111" s="34" t="n">
        <f aca="false">Assumptions!$B$5+(INDEX(Assumptions!$B$22:$B$32,MATCH(YEAR($A111),Assumptions!$A$22:$A$32,0))*$C111-Assumptions!$B$5)*MIN(1,$B111/Assumptions!$B$11)</f>
        <v>59.4892897610563</v>
      </c>
      <c r="E111" s="34" t="n">
        <f aca="false">Assumptions!$B$5+(INDEX(Assumptions!$C$22:$C$32,MATCH(YEAR($A111),Assumptions!$A$22:$A$32,0))*$C111-Assumptions!$B$5)*MIN(1,$B111/Assumptions!$B$11)</f>
        <v>94.1913754550058</v>
      </c>
      <c r="F111" s="34" t="n">
        <f aca="false">Assumptions!$B$5+(INDEX(Assumptions!$D$22:$D$32,MATCH(YEAR($A111),Assumptions!$A$22:$A$32,0))*$C111-Assumptions!$B$5)*MIN(1,$B111/Assumptions!$B$11)</f>
        <v>135.090262165732</v>
      </c>
      <c r="G111" s="34" t="n">
        <f aca="false">(Scenarios!$B$7-Scenarios!$B$8)*(1+Assumptions!$B$10)^$B111</f>
        <v>52.9742558950385</v>
      </c>
      <c r="H111" s="34" t="n">
        <f aca="false">D111*100/(Assumptions!$B$7*Assumptions!$B$6)</f>
        <v>27.9236619088336</v>
      </c>
      <c r="I111" s="34" t="n">
        <f aca="false">E111*100/(Assumptions!$B$7*Assumptions!$B$6)</f>
        <v>44.2124646889865</v>
      </c>
      <c r="J111" s="34" t="n">
        <f aca="false">F111*100/(Assumptions!$B$7*Assumptions!$B$6)</f>
        <v>63.4099822513095</v>
      </c>
      <c r="K111" s="34" t="n">
        <f aca="false">(Scenarios!$B$5+Scenarios!C$12*($A111&gt;=Assumptions!$B$14))*(1+Scenarios!C$13)^MAX(0,YEAR($A111)-Assumptions!$B$18+(MONTH($A111)&gt;=4))</f>
        <v>52.95</v>
      </c>
      <c r="L111" s="34" t="n">
        <f aca="false">(Scenarios!$B$5+Scenarios!D$12*($A111&gt;=Assumptions!$B$14))*(1+Scenarios!D$13)^MAX(0,YEAR($A111)-Assumptions!$B$18+(MONTH($A111)&gt;=4))</f>
        <v>70.8824561572709</v>
      </c>
      <c r="M111" s="34" t="n">
        <f aca="false">(Scenarios!$B$5+Scenarios!E$12*($A111&gt;=Assumptions!$B$14))*(1+Scenarios!E$13)^MAX(0,YEAR($A111)-Assumptions!$B$18+(MONTH($A111)&gt;=4))</f>
        <v>70.8824561572709</v>
      </c>
      <c r="N111" s="34" t="n">
        <f aca="false">$G111+H111</f>
        <v>80.8979178038721</v>
      </c>
      <c r="O111" s="34" t="n">
        <f aca="false">$G111+I111</f>
        <v>97.186720584025</v>
      </c>
      <c r="P111" s="34" t="n">
        <f aca="false">$G111+J111</f>
        <v>116.384238146348</v>
      </c>
    </row>
    <row r="112" customFormat="false" ht="15" hidden="false" customHeight="false" outlineLevel="0" collapsed="false">
      <c r="A112" s="36" t="n">
        <f aca="false">Scenarios!A112</f>
        <v>49065</v>
      </c>
      <c r="B112" s="21" t="n">
        <f aca="false">Scenarios!B112</f>
        <v>7.66666666666667</v>
      </c>
      <c r="C112" s="44" t="n">
        <f aca="false">INDEX(Assumptions!$E$22:$E$32,MATCH(YEAR($A112),Assumptions!$A$22:$A$32,0))</f>
        <v>1.23936020335534</v>
      </c>
      <c r="D112" s="34" t="n">
        <f aca="false">Assumptions!$B$5+(INDEX(Assumptions!$B$22:$B$32,MATCH(YEAR($A112),Assumptions!$A$22:$A$32,0))*$C112-Assumptions!$B$5)*MIN(1,$B112/Assumptions!$B$11)</f>
        <v>59.4892897610563</v>
      </c>
      <c r="E112" s="34" t="n">
        <f aca="false">Assumptions!$B$5+(INDEX(Assumptions!$C$22:$C$32,MATCH(YEAR($A112),Assumptions!$A$22:$A$32,0))*$C112-Assumptions!$B$5)*MIN(1,$B112/Assumptions!$B$11)</f>
        <v>94.1913754550058</v>
      </c>
      <c r="F112" s="34" t="n">
        <f aca="false">Assumptions!$B$5+(INDEX(Assumptions!$D$22:$D$32,MATCH(YEAR($A112),Assumptions!$A$22:$A$32,0))*$C112-Assumptions!$B$5)*MIN(1,$B112/Assumptions!$B$11)</f>
        <v>135.090262165732</v>
      </c>
      <c r="G112" s="34" t="n">
        <f aca="false">(Scenarios!$B$7-Scenarios!$B$8)*(1+Assumptions!$B$10)^$B112</f>
        <v>53.0617471855579</v>
      </c>
      <c r="H112" s="34" t="n">
        <f aca="false">D112*100/(Assumptions!$B$7*Assumptions!$B$6)</f>
        <v>27.9236619088336</v>
      </c>
      <c r="I112" s="34" t="n">
        <f aca="false">E112*100/(Assumptions!$B$7*Assumptions!$B$6)</f>
        <v>44.2124646889865</v>
      </c>
      <c r="J112" s="34" t="n">
        <f aca="false">F112*100/(Assumptions!$B$7*Assumptions!$B$6)</f>
        <v>63.4099822513095</v>
      </c>
      <c r="K112" s="34" t="n">
        <f aca="false">(Scenarios!$B$5+Scenarios!C$12*($A112&gt;=Assumptions!$B$14))*(1+Scenarios!C$13)^MAX(0,YEAR($A112)-Assumptions!$B$18+(MONTH($A112)&gt;=4))</f>
        <v>52.95</v>
      </c>
      <c r="L112" s="34" t="n">
        <f aca="false">(Scenarios!$B$5+Scenarios!D$12*($A112&gt;=Assumptions!$B$14))*(1+Scenarios!D$13)^MAX(0,YEAR($A112)-Assumptions!$B$18+(MONTH($A112)&gt;=4))</f>
        <v>70.8824561572709</v>
      </c>
      <c r="M112" s="34" t="n">
        <f aca="false">(Scenarios!$B$5+Scenarios!E$12*($A112&gt;=Assumptions!$B$14))*(1+Scenarios!E$13)^MAX(0,YEAR($A112)-Assumptions!$B$18+(MONTH($A112)&gt;=4))</f>
        <v>70.8824561572709</v>
      </c>
      <c r="N112" s="34" t="n">
        <f aca="false">$G112+H112</f>
        <v>80.9854090943915</v>
      </c>
      <c r="O112" s="34" t="n">
        <f aca="false">$G112+I112</f>
        <v>97.2742118745444</v>
      </c>
      <c r="P112" s="34" t="n">
        <f aca="false">$G112+J112</f>
        <v>116.471729436867</v>
      </c>
    </row>
    <row r="113" customFormat="false" ht="15" hidden="false" customHeight="false" outlineLevel="0" collapsed="false">
      <c r="A113" s="36" t="n">
        <f aca="false">Scenarios!A113</f>
        <v>49096</v>
      </c>
      <c r="B113" s="21" t="n">
        <f aca="false">Scenarios!B113</f>
        <v>7.75</v>
      </c>
      <c r="C113" s="44" t="n">
        <f aca="false">INDEX(Assumptions!$E$22:$E$32,MATCH(YEAR($A113),Assumptions!$A$22:$A$32,0))</f>
        <v>1.23936020335534</v>
      </c>
      <c r="D113" s="34" t="n">
        <f aca="false">Assumptions!$B$5+(INDEX(Assumptions!$B$22:$B$32,MATCH(YEAR($A113),Assumptions!$A$22:$A$32,0))*$C113-Assumptions!$B$5)*MIN(1,$B113/Assumptions!$B$11)</f>
        <v>59.4892897610563</v>
      </c>
      <c r="E113" s="34" t="n">
        <f aca="false">Assumptions!$B$5+(INDEX(Assumptions!$C$22:$C$32,MATCH(YEAR($A113),Assumptions!$A$22:$A$32,0))*$C113-Assumptions!$B$5)*MIN(1,$B113/Assumptions!$B$11)</f>
        <v>94.1913754550058</v>
      </c>
      <c r="F113" s="34" t="n">
        <f aca="false">Assumptions!$B$5+(INDEX(Assumptions!$D$22:$D$32,MATCH(YEAR($A113),Assumptions!$A$22:$A$32,0))*$C113-Assumptions!$B$5)*MIN(1,$B113/Assumptions!$B$11)</f>
        <v>135.090262165732</v>
      </c>
      <c r="G113" s="34" t="n">
        <f aca="false">(Scenarios!$B$7-Scenarios!$B$8)*(1+Assumptions!$B$10)^$B113</f>
        <v>53.1493829750568</v>
      </c>
      <c r="H113" s="34" t="n">
        <f aca="false">D113*100/(Assumptions!$B$7*Assumptions!$B$6)</f>
        <v>27.9236619088336</v>
      </c>
      <c r="I113" s="34" t="n">
        <f aca="false">E113*100/(Assumptions!$B$7*Assumptions!$B$6)</f>
        <v>44.2124646889865</v>
      </c>
      <c r="J113" s="34" t="n">
        <f aca="false">F113*100/(Assumptions!$B$7*Assumptions!$B$6)</f>
        <v>63.4099822513095</v>
      </c>
      <c r="K113" s="34" t="n">
        <f aca="false">(Scenarios!$B$5+Scenarios!C$12*($A113&gt;=Assumptions!$B$14))*(1+Scenarios!C$13)^MAX(0,YEAR($A113)-Assumptions!$B$18+(MONTH($A113)&gt;=4))</f>
        <v>52.95</v>
      </c>
      <c r="L113" s="34" t="n">
        <f aca="false">(Scenarios!$B$5+Scenarios!D$12*($A113&gt;=Assumptions!$B$14))*(1+Scenarios!D$13)^MAX(0,YEAR($A113)-Assumptions!$B$18+(MONTH($A113)&gt;=4))</f>
        <v>70.8824561572709</v>
      </c>
      <c r="M113" s="34" t="n">
        <f aca="false">(Scenarios!$B$5+Scenarios!E$12*($A113&gt;=Assumptions!$B$14))*(1+Scenarios!E$13)^MAX(0,YEAR($A113)-Assumptions!$B$18+(MONTH($A113)&gt;=4))</f>
        <v>70.8824561572709</v>
      </c>
      <c r="N113" s="34" t="n">
        <f aca="false">$G113+H113</f>
        <v>81.0730448838904</v>
      </c>
      <c r="O113" s="34" t="n">
        <f aca="false">$G113+I113</f>
        <v>97.3618476640433</v>
      </c>
      <c r="P113" s="34" t="n">
        <f aca="false">$G113+J113</f>
        <v>116.559365226366</v>
      </c>
    </row>
    <row r="114" customFormat="false" ht="15" hidden="false" customHeight="false" outlineLevel="0" collapsed="false">
      <c r="A114" s="36" t="n">
        <f aca="false">Scenarios!A114</f>
        <v>49126</v>
      </c>
      <c r="B114" s="21" t="n">
        <f aca="false">Scenarios!B114</f>
        <v>7.83333333333333</v>
      </c>
      <c r="C114" s="44" t="n">
        <f aca="false">INDEX(Assumptions!$E$22:$E$32,MATCH(YEAR($A114),Assumptions!$A$22:$A$32,0))</f>
        <v>1.23936020335534</v>
      </c>
      <c r="D114" s="34" t="n">
        <f aca="false">Assumptions!$B$5+(INDEX(Assumptions!$B$22:$B$32,MATCH(YEAR($A114),Assumptions!$A$22:$A$32,0))*$C114-Assumptions!$B$5)*MIN(1,$B114/Assumptions!$B$11)</f>
        <v>59.4892897610563</v>
      </c>
      <c r="E114" s="34" t="n">
        <f aca="false">Assumptions!$B$5+(INDEX(Assumptions!$C$22:$C$32,MATCH(YEAR($A114),Assumptions!$A$22:$A$32,0))*$C114-Assumptions!$B$5)*MIN(1,$B114/Assumptions!$B$11)</f>
        <v>94.1913754550058</v>
      </c>
      <c r="F114" s="34" t="n">
        <f aca="false">Assumptions!$B$5+(INDEX(Assumptions!$D$22:$D$32,MATCH(YEAR($A114),Assumptions!$A$22:$A$32,0))*$C114-Assumptions!$B$5)*MIN(1,$B114/Assumptions!$B$11)</f>
        <v>135.090262165732</v>
      </c>
      <c r="G114" s="34" t="n">
        <f aca="false">(Scenarios!$B$7-Scenarios!$B$8)*(1+Assumptions!$B$10)^$B114</f>
        <v>53.237163502187</v>
      </c>
      <c r="H114" s="34" t="n">
        <f aca="false">D114*100/(Assumptions!$B$7*Assumptions!$B$6)</f>
        <v>27.9236619088336</v>
      </c>
      <c r="I114" s="34" t="n">
        <f aca="false">E114*100/(Assumptions!$B$7*Assumptions!$B$6)</f>
        <v>44.2124646889865</v>
      </c>
      <c r="J114" s="34" t="n">
        <f aca="false">F114*100/(Assumptions!$B$7*Assumptions!$B$6)</f>
        <v>63.4099822513095</v>
      </c>
      <c r="K114" s="34" t="n">
        <f aca="false">(Scenarios!$B$5+Scenarios!C$12*($A114&gt;=Assumptions!$B$14))*(1+Scenarios!C$13)^MAX(0,YEAR($A114)-Assumptions!$B$18+(MONTH($A114)&gt;=4))</f>
        <v>52.95</v>
      </c>
      <c r="L114" s="34" t="n">
        <f aca="false">(Scenarios!$B$5+Scenarios!D$12*($A114&gt;=Assumptions!$B$14))*(1+Scenarios!D$13)^MAX(0,YEAR($A114)-Assumptions!$B$18+(MONTH($A114)&gt;=4))</f>
        <v>70.8824561572709</v>
      </c>
      <c r="M114" s="34" t="n">
        <f aca="false">(Scenarios!$B$5+Scenarios!E$12*($A114&gt;=Assumptions!$B$14))*(1+Scenarios!E$13)^MAX(0,YEAR($A114)-Assumptions!$B$18+(MONTH($A114)&gt;=4))</f>
        <v>70.8824561572709</v>
      </c>
      <c r="N114" s="34" t="n">
        <f aca="false">$G114+H114</f>
        <v>81.1608254110205</v>
      </c>
      <c r="O114" s="34" t="n">
        <f aca="false">$G114+I114</f>
        <v>97.4496281911735</v>
      </c>
      <c r="P114" s="34" t="n">
        <f aca="false">$G114+J114</f>
        <v>116.647145753497</v>
      </c>
    </row>
    <row r="115" customFormat="false" ht="15" hidden="false" customHeight="false" outlineLevel="0" collapsed="false">
      <c r="A115" s="36" t="n">
        <f aca="false">Scenarios!A115</f>
        <v>49157</v>
      </c>
      <c r="B115" s="21" t="n">
        <f aca="false">Scenarios!B115</f>
        <v>7.91666666666667</v>
      </c>
      <c r="C115" s="44" t="n">
        <f aca="false">INDEX(Assumptions!$E$22:$E$32,MATCH(YEAR($A115),Assumptions!$A$22:$A$32,0))</f>
        <v>1.23936020335534</v>
      </c>
      <c r="D115" s="34" t="n">
        <f aca="false">Assumptions!$B$5+(INDEX(Assumptions!$B$22:$B$32,MATCH(YEAR($A115),Assumptions!$A$22:$A$32,0))*$C115-Assumptions!$B$5)*MIN(1,$B115/Assumptions!$B$11)</f>
        <v>59.4892897610563</v>
      </c>
      <c r="E115" s="34" t="n">
        <f aca="false">Assumptions!$B$5+(INDEX(Assumptions!$C$22:$C$32,MATCH(YEAR($A115),Assumptions!$A$22:$A$32,0))*$C115-Assumptions!$B$5)*MIN(1,$B115/Assumptions!$B$11)</f>
        <v>94.1913754550058</v>
      </c>
      <c r="F115" s="34" t="n">
        <f aca="false">Assumptions!$B$5+(INDEX(Assumptions!$D$22:$D$32,MATCH(YEAR($A115),Assumptions!$A$22:$A$32,0))*$C115-Assumptions!$B$5)*MIN(1,$B115/Assumptions!$B$11)</f>
        <v>135.090262165732</v>
      </c>
      <c r="G115" s="34" t="n">
        <f aca="false">(Scenarios!$B$7-Scenarios!$B$8)*(1+Assumptions!$B$10)^$B115</f>
        <v>53.3250890059945</v>
      </c>
      <c r="H115" s="34" t="n">
        <f aca="false">D115*100/(Assumptions!$B$7*Assumptions!$B$6)</f>
        <v>27.9236619088336</v>
      </c>
      <c r="I115" s="34" t="n">
        <f aca="false">E115*100/(Assumptions!$B$7*Assumptions!$B$6)</f>
        <v>44.2124646889865</v>
      </c>
      <c r="J115" s="34" t="n">
        <f aca="false">F115*100/(Assumptions!$B$7*Assumptions!$B$6)</f>
        <v>63.4099822513095</v>
      </c>
      <c r="K115" s="34" t="n">
        <f aca="false">(Scenarios!$B$5+Scenarios!C$12*($A115&gt;=Assumptions!$B$14))*(1+Scenarios!C$13)^MAX(0,YEAR($A115)-Assumptions!$B$18+(MONTH($A115)&gt;=4))</f>
        <v>52.95</v>
      </c>
      <c r="L115" s="34" t="n">
        <f aca="false">(Scenarios!$B$5+Scenarios!D$12*($A115&gt;=Assumptions!$B$14))*(1+Scenarios!D$13)^MAX(0,YEAR($A115)-Assumptions!$B$18+(MONTH($A115)&gt;=4))</f>
        <v>70.8824561572709</v>
      </c>
      <c r="M115" s="34" t="n">
        <f aca="false">(Scenarios!$B$5+Scenarios!E$12*($A115&gt;=Assumptions!$B$14))*(1+Scenarios!E$13)^MAX(0,YEAR($A115)-Assumptions!$B$18+(MONTH($A115)&gt;=4))</f>
        <v>70.8824561572709</v>
      </c>
      <c r="N115" s="34" t="n">
        <f aca="false">$G115+H115</f>
        <v>81.248750914828</v>
      </c>
      <c r="O115" s="34" t="n">
        <f aca="false">$G115+I115</f>
        <v>97.5375536949809</v>
      </c>
      <c r="P115" s="34" t="n">
        <f aca="false">$G115+J115</f>
        <v>116.735071257304</v>
      </c>
    </row>
    <row r="116" customFormat="false" ht="15" hidden="false" customHeight="false" outlineLevel="0" collapsed="false">
      <c r="A116" s="36" t="n">
        <f aca="false">Scenarios!A116</f>
        <v>49188</v>
      </c>
      <c r="B116" s="21" t="n">
        <f aca="false">Scenarios!B116</f>
        <v>8</v>
      </c>
      <c r="C116" s="44" t="n">
        <f aca="false">INDEX(Assumptions!$E$22:$E$32,MATCH(YEAR($A116),Assumptions!$A$22:$A$32,0))</f>
        <v>1.23936020335534</v>
      </c>
      <c r="D116" s="34" t="n">
        <f aca="false">Assumptions!$B$5+(INDEX(Assumptions!$B$22:$B$32,MATCH(YEAR($A116),Assumptions!$A$22:$A$32,0))*$C116-Assumptions!$B$5)*MIN(1,$B116/Assumptions!$B$11)</f>
        <v>59.4892897610563</v>
      </c>
      <c r="E116" s="34" t="n">
        <f aca="false">Assumptions!$B$5+(INDEX(Assumptions!$C$22:$C$32,MATCH(YEAR($A116),Assumptions!$A$22:$A$32,0))*$C116-Assumptions!$B$5)*MIN(1,$B116/Assumptions!$B$11)</f>
        <v>94.1913754550058</v>
      </c>
      <c r="F116" s="34" t="n">
        <f aca="false">Assumptions!$B$5+(INDEX(Assumptions!$D$22:$D$32,MATCH(YEAR($A116),Assumptions!$A$22:$A$32,0))*$C116-Assumptions!$B$5)*MIN(1,$B116/Assumptions!$B$11)</f>
        <v>135.090262165732</v>
      </c>
      <c r="G116" s="34" t="n">
        <f aca="false">(Scenarios!$B$7-Scenarios!$B$8)*(1+Assumptions!$B$10)^$B116</f>
        <v>53.41315972592</v>
      </c>
      <c r="H116" s="34" t="n">
        <f aca="false">D116*100/(Assumptions!$B$7*Assumptions!$B$6)</f>
        <v>27.9236619088336</v>
      </c>
      <c r="I116" s="34" t="n">
        <f aca="false">E116*100/(Assumptions!$B$7*Assumptions!$B$6)</f>
        <v>44.2124646889865</v>
      </c>
      <c r="J116" s="34" t="n">
        <f aca="false">F116*100/(Assumptions!$B$7*Assumptions!$B$6)</f>
        <v>63.4099822513095</v>
      </c>
      <c r="K116" s="34" t="n">
        <f aca="false">(Scenarios!$B$5+Scenarios!C$12*($A116&gt;=Assumptions!$B$14))*(1+Scenarios!C$13)^MAX(0,YEAR($A116)-Assumptions!$B$18+(MONTH($A116)&gt;=4))</f>
        <v>52.95</v>
      </c>
      <c r="L116" s="34" t="n">
        <f aca="false">(Scenarios!$B$5+Scenarios!D$12*($A116&gt;=Assumptions!$B$14))*(1+Scenarios!D$13)^MAX(0,YEAR($A116)-Assumptions!$B$18+(MONTH($A116)&gt;=4))</f>
        <v>70.8824561572709</v>
      </c>
      <c r="M116" s="34" t="n">
        <f aca="false">(Scenarios!$B$5+Scenarios!E$12*($A116&gt;=Assumptions!$B$14))*(1+Scenarios!E$13)^MAX(0,YEAR($A116)-Assumptions!$B$18+(MONTH($A116)&gt;=4))</f>
        <v>70.8824561572709</v>
      </c>
      <c r="N116" s="34" t="n">
        <f aca="false">$G116+H116</f>
        <v>81.3368216347536</v>
      </c>
      <c r="O116" s="34" t="n">
        <f aca="false">$G116+I116</f>
        <v>97.6256244149065</v>
      </c>
      <c r="P116" s="34" t="n">
        <f aca="false">$G116+J116</f>
        <v>116.82314197723</v>
      </c>
    </row>
    <row r="117" customFormat="false" ht="15" hidden="false" customHeight="false" outlineLevel="0" collapsed="false">
      <c r="A117" s="36" t="n">
        <f aca="false">Scenarios!A117</f>
        <v>49218</v>
      </c>
      <c r="B117" s="21" t="n">
        <f aca="false">Scenarios!B117</f>
        <v>8.08333333333333</v>
      </c>
      <c r="C117" s="44" t="n">
        <f aca="false">INDEX(Assumptions!$E$22:$E$32,MATCH(YEAR($A117),Assumptions!$A$22:$A$32,0))</f>
        <v>1.23936020335534</v>
      </c>
      <c r="D117" s="34" t="n">
        <f aca="false">Assumptions!$B$5+(INDEX(Assumptions!$B$22:$B$32,MATCH(YEAR($A117),Assumptions!$A$22:$A$32,0))*$C117-Assumptions!$B$5)*MIN(1,$B117/Assumptions!$B$11)</f>
        <v>59.4892897610563</v>
      </c>
      <c r="E117" s="34" t="n">
        <f aca="false">Assumptions!$B$5+(INDEX(Assumptions!$C$22:$C$32,MATCH(YEAR($A117),Assumptions!$A$22:$A$32,0))*$C117-Assumptions!$B$5)*MIN(1,$B117/Assumptions!$B$11)</f>
        <v>94.1913754550058</v>
      </c>
      <c r="F117" s="34" t="n">
        <f aca="false">Assumptions!$B$5+(INDEX(Assumptions!$D$22:$D$32,MATCH(YEAR($A117),Assumptions!$A$22:$A$32,0))*$C117-Assumptions!$B$5)*MIN(1,$B117/Assumptions!$B$11)</f>
        <v>135.090262165732</v>
      </c>
      <c r="G117" s="34" t="n">
        <f aca="false">(Scenarios!$B$7-Scenarios!$B$8)*(1+Assumptions!$B$10)^$B117</f>
        <v>53.5013759017998</v>
      </c>
      <c r="H117" s="34" t="n">
        <f aca="false">D117*100/(Assumptions!$B$7*Assumptions!$B$6)</f>
        <v>27.9236619088336</v>
      </c>
      <c r="I117" s="34" t="n">
        <f aca="false">E117*100/(Assumptions!$B$7*Assumptions!$B$6)</f>
        <v>44.2124646889865</v>
      </c>
      <c r="J117" s="34" t="n">
        <f aca="false">F117*100/(Assumptions!$B$7*Assumptions!$B$6)</f>
        <v>63.4099822513095</v>
      </c>
      <c r="K117" s="34" t="n">
        <f aca="false">(Scenarios!$B$5+Scenarios!C$12*($A117&gt;=Assumptions!$B$14))*(1+Scenarios!C$13)^MAX(0,YEAR($A117)-Assumptions!$B$18+(MONTH($A117)&gt;=4))</f>
        <v>52.95</v>
      </c>
      <c r="L117" s="34" t="n">
        <f aca="false">(Scenarios!$B$5+Scenarios!D$12*($A117&gt;=Assumptions!$B$14))*(1+Scenarios!D$13)^MAX(0,YEAR($A117)-Assumptions!$B$18+(MONTH($A117)&gt;=4))</f>
        <v>70.8824561572709</v>
      </c>
      <c r="M117" s="34" t="n">
        <f aca="false">(Scenarios!$B$5+Scenarios!E$12*($A117&gt;=Assumptions!$B$14))*(1+Scenarios!E$13)^MAX(0,YEAR($A117)-Assumptions!$B$18+(MONTH($A117)&gt;=4))</f>
        <v>70.8824561572709</v>
      </c>
      <c r="N117" s="34" t="n">
        <f aca="false">$G117+H117</f>
        <v>81.4250378106334</v>
      </c>
      <c r="O117" s="34" t="n">
        <f aca="false">$G117+I117</f>
        <v>97.7138405907863</v>
      </c>
      <c r="P117" s="34" t="n">
        <f aca="false">$G117+J117</f>
        <v>116.911358153109</v>
      </c>
    </row>
    <row r="118" customFormat="false" ht="15" hidden="false" customHeight="false" outlineLevel="0" collapsed="false">
      <c r="A118" s="36" t="n">
        <f aca="false">Scenarios!A118</f>
        <v>49249</v>
      </c>
      <c r="B118" s="21" t="n">
        <f aca="false">Scenarios!B118</f>
        <v>8.16666666666667</v>
      </c>
      <c r="C118" s="44" t="n">
        <f aca="false">INDEX(Assumptions!$E$22:$E$32,MATCH(YEAR($A118),Assumptions!$A$22:$A$32,0))</f>
        <v>1.23936020335534</v>
      </c>
      <c r="D118" s="34" t="n">
        <f aca="false">Assumptions!$B$5+(INDEX(Assumptions!$B$22:$B$32,MATCH(YEAR($A118),Assumptions!$A$22:$A$32,0))*$C118-Assumptions!$B$5)*MIN(1,$B118/Assumptions!$B$11)</f>
        <v>59.4892897610563</v>
      </c>
      <c r="E118" s="34" t="n">
        <f aca="false">Assumptions!$B$5+(INDEX(Assumptions!$C$22:$C$32,MATCH(YEAR($A118),Assumptions!$A$22:$A$32,0))*$C118-Assumptions!$B$5)*MIN(1,$B118/Assumptions!$B$11)</f>
        <v>94.1913754550058</v>
      </c>
      <c r="F118" s="34" t="n">
        <f aca="false">Assumptions!$B$5+(INDEX(Assumptions!$D$22:$D$32,MATCH(YEAR($A118),Assumptions!$A$22:$A$32,0))*$C118-Assumptions!$B$5)*MIN(1,$B118/Assumptions!$B$11)</f>
        <v>135.090262165732</v>
      </c>
      <c r="G118" s="34" t="n">
        <f aca="false">(Scenarios!$B$7-Scenarios!$B$8)*(1+Assumptions!$B$10)^$B118</f>
        <v>53.5897377738662</v>
      </c>
      <c r="H118" s="34" t="n">
        <f aca="false">D118*100/(Assumptions!$B$7*Assumptions!$B$6)</f>
        <v>27.9236619088336</v>
      </c>
      <c r="I118" s="34" t="n">
        <f aca="false">E118*100/(Assumptions!$B$7*Assumptions!$B$6)</f>
        <v>44.2124646889865</v>
      </c>
      <c r="J118" s="34" t="n">
        <f aca="false">F118*100/(Assumptions!$B$7*Assumptions!$B$6)</f>
        <v>63.4099822513095</v>
      </c>
      <c r="K118" s="34" t="n">
        <f aca="false">(Scenarios!$B$5+Scenarios!C$12*($A118&gt;=Assumptions!$B$14))*(1+Scenarios!C$13)^MAX(0,YEAR($A118)-Assumptions!$B$18+(MONTH($A118)&gt;=4))</f>
        <v>52.95</v>
      </c>
      <c r="L118" s="34" t="n">
        <f aca="false">(Scenarios!$B$5+Scenarios!D$12*($A118&gt;=Assumptions!$B$14))*(1+Scenarios!D$13)^MAX(0,YEAR($A118)-Assumptions!$B$18+(MONTH($A118)&gt;=4))</f>
        <v>70.8824561572709</v>
      </c>
      <c r="M118" s="34" t="n">
        <f aca="false">(Scenarios!$B$5+Scenarios!E$12*($A118&gt;=Assumptions!$B$14))*(1+Scenarios!E$13)^MAX(0,YEAR($A118)-Assumptions!$B$18+(MONTH($A118)&gt;=4))</f>
        <v>70.8824561572709</v>
      </c>
      <c r="N118" s="34" t="n">
        <f aca="false">$G118+H118</f>
        <v>81.5133996826998</v>
      </c>
      <c r="O118" s="34" t="n">
        <f aca="false">$G118+I118</f>
        <v>97.8022024628527</v>
      </c>
      <c r="P118" s="34" t="n">
        <f aca="false">$G118+J118</f>
        <v>116.999720025176</v>
      </c>
    </row>
    <row r="119" customFormat="false" ht="15" hidden="false" customHeight="false" outlineLevel="0" collapsed="false">
      <c r="A119" s="36" t="n">
        <f aca="false">Scenarios!A119</f>
        <v>49279</v>
      </c>
      <c r="B119" s="21" t="n">
        <f aca="false">Scenarios!B119</f>
        <v>8.25</v>
      </c>
      <c r="C119" s="44" t="n">
        <f aca="false">INDEX(Assumptions!$E$22:$E$32,MATCH(YEAR($A119),Assumptions!$A$22:$A$32,0))</f>
        <v>1.23936020335534</v>
      </c>
      <c r="D119" s="34" t="n">
        <f aca="false">Assumptions!$B$5+(INDEX(Assumptions!$B$22:$B$32,MATCH(YEAR($A119),Assumptions!$A$22:$A$32,0))*$C119-Assumptions!$B$5)*MIN(1,$B119/Assumptions!$B$11)</f>
        <v>59.4892897610563</v>
      </c>
      <c r="E119" s="34" t="n">
        <f aca="false">Assumptions!$B$5+(INDEX(Assumptions!$C$22:$C$32,MATCH(YEAR($A119),Assumptions!$A$22:$A$32,0))*$C119-Assumptions!$B$5)*MIN(1,$B119/Assumptions!$B$11)</f>
        <v>94.1913754550058</v>
      </c>
      <c r="F119" s="34" t="n">
        <f aca="false">Assumptions!$B$5+(INDEX(Assumptions!$D$22:$D$32,MATCH(YEAR($A119),Assumptions!$A$22:$A$32,0))*$C119-Assumptions!$B$5)*MIN(1,$B119/Assumptions!$B$11)</f>
        <v>135.090262165732</v>
      </c>
      <c r="G119" s="34" t="n">
        <f aca="false">(Scenarios!$B$7-Scenarios!$B$8)*(1+Assumptions!$B$10)^$B119</f>
        <v>53.6782455827483</v>
      </c>
      <c r="H119" s="34" t="n">
        <f aca="false">D119*100/(Assumptions!$B$7*Assumptions!$B$6)</f>
        <v>27.9236619088336</v>
      </c>
      <c r="I119" s="34" t="n">
        <f aca="false">E119*100/(Assumptions!$B$7*Assumptions!$B$6)</f>
        <v>44.2124646889865</v>
      </c>
      <c r="J119" s="34" t="n">
        <f aca="false">F119*100/(Assumptions!$B$7*Assumptions!$B$6)</f>
        <v>63.4099822513095</v>
      </c>
      <c r="K119" s="34" t="n">
        <f aca="false">(Scenarios!$B$5+Scenarios!C$12*($A119&gt;=Assumptions!$B$14))*(1+Scenarios!C$13)^MAX(0,YEAR($A119)-Assumptions!$B$18+(MONTH($A119)&gt;=4))</f>
        <v>52.95</v>
      </c>
      <c r="L119" s="34" t="n">
        <f aca="false">(Scenarios!$B$5+Scenarios!D$12*($A119&gt;=Assumptions!$B$14))*(1+Scenarios!D$13)^MAX(0,YEAR($A119)-Assumptions!$B$18+(MONTH($A119)&gt;=4))</f>
        <v>70.8824561572709</v>
      </c>
      <c r="M119" s="34" t="n">
        <f aca="false">(Scenarios!$B$5+Scenarios!E$12*($A119&gt;=Assumptions!$B$14))*(1+Scenarios!E$13)^MAX(0,YEAR($A119)-Assumptions!$B$18+(MONTH($A119)&gt;=4))</f>
        <v>70.8824561572709</v>
      </c>
      <c r="N119" s="34" t="n">
        <f aca="false">$G119+H119</f>
        <v>81.6019074915819</v>
      </c>
      <c r="O119" s="34" t="n">
        <f aca="false">$G119+I119</f>
        <v>97.8907102717348</v>
      </c>
      <c r="P119" s="34" t="n">
        <f aca="false">$G119+J119</f>
        <v>117.088227834058</v>
      </c>
    </row>
    <row r="120" customFormat="false" ht="15" hidden="false" customHeight="false" outlineLevel="0" collapsed="false">
      <c r="A120" s="36" t="n">
        <f aca="false">Scenarios!A120</f>
        <v>49310</v>
      </c>
      <c r="B120" s="21" t="n">
        <f aca="false">Scenarios!B120</f>
        <v>8.33333333333333</v>
      </c>
      <c r="C120" s="44" t="n">
        <f aca="false">INDEX(Assumptions!$E$22:$E$32,MATCH(YEAR($A120),Assumptions!$A$22:$A$32,0))</f>
        <v>1.26414740742245</v>
      </c>
      <c r="D120" s="34" t="n">
        <f aca="false">Assumptions!$B$5+(INDEX(Assumptions!$B$22:$B$32,MATCH(YEAR($A120),Assumptions!$A$22:$A$32,0))*$C120-Assumptions!$B$5)*MIN(1,$B120/Assumptions!$B$11)</f>
        <v>61.9432229636998</v>
      </c>
      <c r="E120" s="34" t="n">
        <f aca="false">Assumptions!$B$5+(INDEX(Assumptions!$C$22:$C$32,MATCH(YEAR($A120),Assumptions!$A$22:$A$32,0))*$C120-Assumptions!$B$5)*MIN(1,$B120/Assumptions!$B$11)</f>
        <v>97.3393503715283</v>
      </c>
      <c r="F120" s="34" t="n">
        <f aca="false">Assumptions!$B$5+(INDEX(Assumptions!$D$22:$D$32,MATCH(YEAR($A120),Assumptions!$A$22:$A$32,0))*$C120-Assumptions!$B$5)*MIN(1,$B120/Assumptions!$B$11)</f>
        <v>139.056214816469</v>
      </c>
      <c r="G120" s="34" t="n">
        <f aca="false">(Scenarios!$B$7-Scenarios!$B$8)*(1+Assumptions!$B$10)^$B120</f>
        <v>53.7668995694727</v>
      </c>
      <c r="H120" s="34" t="n">
        <f aca="false">D120*100/(Assumptions!$B$7*Assumptions!$B$6)</f>
        <v>29.0755129625729</v>
      </c>
      <c r="I120" s="34" t="n">
        <f aca="false">E120*100/(Assumptions!$B$7*Assumptions!$B$6)</f>
        <v>45.6900917983289</v>
      </c>
      <c r="J120" s="34" t="n">
        <f aca="false">F120*100/(Assumptions!$B$7*Assumptions!$B$6)</f>
        <v>65.2715597118985</v>
      </c>
      <c r="K120" s="34" t="n">
        <f aca="false">(Scenarios!$B$5+Scenarios!C$12*($A120&gt;=Assumptions!$B$14))*(1+Scenarios!C$13)^MAX(0,YEAR($A120)-Assumptions!$B$18+(MONTH($A120)&gt;=4))</f>
        <v>52.95</v>
      </c>
      <c r="L120" s="34" t="n">
        <f aca="false">(Scenarios!$B$5+Scenarios!D$12*($A120&gt;=Assumptions!$B$14))*(1+Scenarios!D$13)^MAX(0,YEAR($A120)-Assumptions!$B$18+(MONTH($A120)&gt;=4))</f>
        <v>70.8824561572709</v>
      </c>
      <c r="M120" s="34" t="n">
        <f aca="false">(Scenarios!$B$5+Scenarios!E$12*($A120&gt;=Assumptions!$B$14))*(1+Scenarios!E$13)^MAX(0,YEAR($A120)-Assumptions!$B$18+(MONTH($A120)&gt;=4))</f>
        <v>70.8824561572709</v>
      </c>
      <c r="N120" s="34" t="n">
        <f aca="false">$G120+H120</f>
        <v>82.8424125320456</v>
      </c>
      <c r="O120" s="34" t="n">
        <f aca="false">$G120+I120</f>
        <v>99.4569913678016</v>
      </c>
      <c r="P120" s="34" t="n">
        <f aca="false">$G120+J120</f>
        <v>119.038459281371</v>
      </c>
    </row>
    <row r="121" customFormat="false" ht="15" hidden="false" customHeight="false" outlineLevel="0" collapsed="false">
      <c r="A121" s="36" t="n">
        <f aca="false">Scenarios!A121</f>
        <v>49341</v>
      </c>
      <c r="B121" s="21" t="n">
        <f aca="false">Scenarios!B121</f>
        <v>8.41666666666667</v>
      </c>
      <c r="C121" s="44" t="n">
        <f aca="false">INDEX(Assumptions!$E$22:$E$32,MATCH(YEAR($A121),Assumptions!$A$22:$A$32,0))</f>
        <v>1.26414740742245</v>
      </c>
      <c r="D121" s="34" t="n">
        <f aca="false">Assumptions!$B$5+(INDEX(Assumptions!$B$22:$B$32,MATCH(YEAR($A121),Assumptions!$A$22:$A$32,0))*$C121-Assumptions!$B$5)*MIN(1,$B121/Assumptions!$B$11)</f>
        <v>61.9432229636998</v>
      </c>
      <c r="E121" s="34" t="n">
        <f aca="false">Assumptions!$B$5+(INDEX(Assumptions!$C$22:$C$32,MATCH(YEAR($A121),Assumptions!$A$22:$A$32,0))*$C121-Assumptions!$B$5)*MIN(1,$B121/Assumptions!$B$11)</f>
        <v>97.3393503715283</v>
      </c>
      <c r="F121" s="34" t="n">
        <f aca="false">Assumptions!$B$5+(INDEX(Assumptions!$D$22:$D$32,MATCH(YEAR($A121),Assumptions!$A$22:$A$32,0))*$C121-Assumptions!$B$5)*MIN(1,$B121/Assumptions!$B$11)</f>
        <v>139.056214816469</v>
      </c>
      <c r="G121" s="34" t="n">
        <f aca="false">(Scenarios!$B$7-Scenarios!$B$8)*(1+Assumptions!$B$10)^$B121</f>
        <v>53.8556999754638</v>
      </c>
      <c r="H121" s="34" t="n">
        <f aca="false">D121*100/(Assumptions!$B$7*Assumptions!$B$6)</f>
        <v>29.0755129625729</v>
      </c>
      <c r="I121" s="34" t="n">
        <f aca="false">E121*100/(Assumptions!$B$7*Assumptions!$B$6)</f>
        <v>45.6900917983289</v>
      </c>
      <c r="J121" s="34" t="n">
        <f aca="false">F121*100/(Assumptions!$B$7*Assumptions!$B$6)</f>
        <v>65.2715597118985</v>
      </c>
      <c r="K121" s="34" t="n">
        <f aca="false">(Scenarios!$B$5+Scenarios!C$12*($A121&gt;=Assumptions!$B$14))*(1+Scenarios!C$13)^MAX(0,YEAR($A121)-Assumptions!$B$18+(MONTH($A121)&gt;=4))</f>
        <v>52.95</v>
      </c>
      <c r="L121" s="34" t="n">
        <f aca="false">(Scenarios!$B$5+Scenarios!D$12*($A121&gt;=Assumptions!$B$14))*(1+Scenarios!D$13)^MAX(0,YEAR($A121)-Assumptions!$B$18+(MONTH($A121)&gt;=4))</f>
        <v>70.8824561572709</v>
      </c>
      <c r="M121" s="34" t="n">
        <f aca="false">(Scenarios!$B$5+Scenarios!E$12*($A121&gt;=Assumptions!$B$14))*(1+Scenarios!E$13)^MAX(0,YEAR($A121)-Assumptions!$B$18+(MONTH($A121)&gt;=4))</f>
        <v>70.8824561572709</v>
      </c>
      <c r="N121" s="34" t="n">
        <f aca="false">$G121+H121</f>
        <v>82.9312129380368</v>
      </c>
      <c r="O121" s="34" t="n">
        <f aca="false">$G121+I121</f>
        <v>99.5457917737928</v>
      </c>
      <c r="P121" s="34" t="n">
        <f aca="false">$G121+J121</f>
        <v>119.127259687362</v>
      </c>
    </row>
    <row r="122" customFormat="false" ht="15" hidden="false" customHeight="false" outlineLevel="0" collapsed="false">
      <c r="A122" s="36" t="n">
        <f aca="false">Scenarios!A122</f>
        <v>49369</v>
      </c>
      <c r="B122" s="21" t="n">
        <f aca="false">Scenarios!B122</f>
        <v>8.5</v>
      </c>
      <c r="C122" s="44" t="n">
        <f aca="false">INDEX(Assumptions!$E$22:$E$32,MATCH(YEAR($A122),Assumptions!$A$22:$A$32,0))</f>
        <v>1.26414740742245</v>
      </c>
      <c r="D122" s="34" t="n">
        <f aca="false">Assumptions!$B$5+(INDEX(Assumptions!$B$22:$B$32,MATCH(YEAR($A122),Assumptions!$A$22:$A$32,0))*$C122-Assumptions!$B$5)*MIN(1,$B122/Assumptions!$B$11)</f>
        <v>61.9432229636998</v>
      </c>
      <c r="E122" s="34" t="n">
        <f aca="false">Assumptions!$B$5+(INDEX(Assumptions!$C$22:$C$32,MATCH(YEAR($A122),Assumptions!$A$22:$A$32,0))*$C122-Assumptions!$B$5)*MIN(1,$B122/Assumptions!$B$11)</f>
        <v>97.3393503715283</v>
      </c>
      <c r="F122" s="34" t="n">
        <f aca="false">Assumptions!$B$5+(INDEX(Assumptions!$D$22:$D$32,MATCH(YEAR($A122),Assumptions!$A$22:$A$32,0))*$C122-Assumptions!$B$5)*MIN(1,$B122/Assumptions!$B$11)</f>
        <v>139.056214816469</v>
      </c>
      <c r="G122" s="34" t="n">
        <f aca="false">(Scenarios!$B$7-Scenarios!$B$8)*(1+Assumptions!$B$10)^$B122</f>
        <v>53.9446470425452</v>
      </c>
      <c r="H122" s="34" t="n">
        <f aca="false">D122*100/(Assumptions!$B$7*Assumptions!$B$6)</f>
        <v>29.0755129625729</v>
      </c>
      <c r="I122" s="34" t="n">
        <f aca="false">E122*100/(Assumptions!$B$7*Assumptions!$B$6)</f>
        <v>45.6900917983289</v>
      </c>
      <c r="J122" s="34" t="n">
        <f aca="false">F122*100/(Assumptions!$B$7*Assumptions!$B$6)</f>
        <v>65.2715597118985</v>
      </c>
      <c r="K122" s="34" t="n">
        <f aca="false">(Scenarios!$B$5+Scenarios!C$12*($A122&gt;=Assumptions!$B$14))*(1+Scenarios!C$13)^MAX(0,YEAR($A122)-Assumptions!$B$18+(MONTH($A122)&gt;=4))</f>
        <v>52.95</v>
      </c>
      <c r="L122" s="34" t="n">
        <f aca="false">(Scenarios!$B$5+Scenarios!D$12*($A122&gt;=Assumptions!$B$14))*(1+Scenarios!D$13)^MAX(0,YEAR($A122)-Assumptions!$B$18+(MONTH($A122)&gt;=4))</f>
        <v>70.8824561572709</v>
      </c>
      <c r="M122" s="34" t="n">
        <f aca="false">(Scenarios!$B$5+Scenarios!E$12*($A122&gt;=Assumptions!$B$14))*(1+Scenarios!E$13)^MAX(0,YEAR($A122)-Assumptions!$B$18+(MONTH($A122)&gt;=4))</f>
        <v>70.8824561572709</v>
      </c>
      <c r="N122" s="34" t="n">
        <f aca="false">$G122+H122</f>
        <v>83.0201600051181</v>
      </c>
      <c r="O122" s="34" t="n">
        <f aca="false">$G122+I122</f>
        <v>99.6347388408741</v>
      </c>
      <c r="P122" s="34" t="n">
        <f aca="false">$G122+J122</f>
        <v>119.216206754444</v>
      </c>
    </row>
    <row r="123" customFormat="false" ht="15" hidden="false" customHeight="false" outlineLevel="0" collapsed="false">
      <c r="A123" s="36" t="n">
        <f aca="false">Scenarios!A123</f>
        <v>49400</v>
      </c>
      <c r="B123" s="21" t="n">
        <f aca="false">Scenarios!B123</f>
        <v>8.58333333333333</v>
      </c>
      <c r="C123" s="44" t="n">
        <f aca="false">INDEX(Assumptions!$E$22:$E$32,MATCH(YEAR($A123),Assumptions!$A$22:$A$32,0))</f>
        <v>1.26414740742245</v>
      </c>
      <c r="D123" s="34" t="n">
        <f aca="false">Assumptions!$B$5+(INDEX(Assumptions!$B$22:$B$32,MATCH(YEAR($A123),Assumptions!$A$22:$A$32,0))*$C123-Assumptions!$B$5)*MIN(1,$B123/Assumptions!$B$11)</f>
        <v>61.9432229636998</v>
      </c>
      <c r="E123" s="34" t="n">
        <f aca="false">Assumptions!$B$5+(INDEX(Assumptions!$C$22:$C$32,MATCH(YEAR($A123),Assumptions!$A$22:$A$32,0))*$C123-Assumptions!$B$5)*MIN(1,$B123/Assumptions!$B$11)</f>
        <v>97.3393503715283</v>
      </c>
      <c r="F123" s="34" t="n">
        <f aca="false">Assumptions!$B$5+(INDEX(Assumptions!$D$22:$D$32,MATCH(YEAR($A123),Assumptions!$A$22:$A$32,0))*$C123-Assumptions!$B$5)*MIN(1,$B123/Assumptions!$B$11)</f>
        <v>139.056214816469</v>
      </c>
      <c r="G123" s="34" t="n">
        <f aca="false">(Scenarios!$B$7-Scenarios!$B$8)*(1+Assumptions!$B$10)^$B123</f>
        <v>54.0337410129393</v>
      </c>
      <c r="H123" s="34" t="n">
        <f aca="false">D123*100/(Assumptions!$B$7*Assumptions!$B$6)</f>
        <v>29.0755129625729</v>
      </c>
      <c r="I123" s="34" t="n">
        <f aca="false">E123*100/(Assumptions!$B$7*Assumptions!$B$6)</f>
        <v>45.6900917983289</v>
      </c>
      <c r="J123" s="34" t="n">
        <f aca="false">F123*100/(Assumptions!$B$7*Assumptions!$B$6)</f>
        <v>65.2715597118985</v>
      </c>
      <c r="K123" s="34" t="n">
        <f aca="false">(Scenarios!$B$5+Scenarios!C$12*($A123&gt;=Assumptions!$B$14))*(1+Scenarios!C$13)^MAX(0,YEAR($A123)-Assumptions!$B$18+(MONTH($A123)&gt;=4))</f>
        <v>52.95</v>
      </c>
      <c r="L123" s="34" t="n">
        <f aca="false">(Scenarios!$B$5+Scenarios!D$12*($A123&gt;=Assumptions!$B$14))*(1+Scenarios!D$13)^MAX(0,YEAR($A123)-Assumptions!$B$18+(MONTH($A123)&gt;=4))</f>
        <v>72.6899587892813</v>
      </c>
      <c r="M123" s="34" t="n">
        <f aca="false">(Scenarios!$B$5+Scenarios!E$12*($A123&gt;=Assumptions!$B$14))*(1+Scenarios!E$13)^MAX(0,YEAR($A123)-Assumptions!$B$18+(MONTH($A123)&gt;=4))</f>
        <v>72.6899587892813</v>
      </c>
      <c r="N123" s="34" t="n">
        <f aca="false">$G123+H123</f>
        <v>83.1092539755123</v>
      </c>
      <c r="O123" s="34" t="n">
        <f aca="false">$G123+I123</f>
        <v>99.7238328112682</v>
      </c>
      <c r="P123" s="34" t="n">
        <f aca="false">$G123+J123</f>
        <v>119.305300724838</v>
      </c>
    </row>
    <row r="124" customFormat="false" ht="15" hidden="false" customHeight="false" outlineLevel="0" collapsed="false">
      <c r="A124" s="36" t="n">
        <f aca="false">Scenarios!A124</f>
        <v>49430</v>
      </c>
      <c r="B124" s="21" t="n">
        <f aca="false">Scenarios!B124</f>
        <v>8.66666666666667</v>
      </c>
      <c r="C124" s="44" t="n">
        <f aca="false">INDEX(Assumptions!$E$22:$E$32,MATCH(YEAR($A124),Assumptions!$A$22:$A$32,0))</f>
        <v>1.26414740742245</v>
      </c>
      <c r="D124" s="34" t="n">
        <f aca="false">Assumptions!$B$5+(INDEX(Assumptions!$B$22:$B$32,MATCH(YEAR($A124),Assumptions!$A$22:$A$32,0))*$C124-Assumptions!$B$5)*MIN(1,$B124/Assumptions!$B$11)</f>
        <v>61.9432229636998</v>
      </c>
      <c r="E124" s="34" t="n">
        <f aca="false">Assumptions!$B$5+(INDEX(Assumptions!$C$22:$C$32,MATCH(YEAR($A124),Assumptions!$A$22:$A$32,0))*$C124-Assumptions!$B$5)*MIN(1,$B124/Assumptions!$B$11)</f>
        <v>97.3393503715283</v>
      </c>
      <c r="F124" s="34" t="n">
        <f aca="false">Assumptions!$B$5+(INDEX(Assumptions!$D$22:$D$32,MATCH(YEAR($A124),Assumptions!$A$22:$A$32,0))*$C124-Assumptions!$B$5)*MIN(1,$B124/Assumptions!$B$11)</f>
        <v>139.056214816469</v>
      </c>
      <c r="G124" s="34" t="n">
        <f aca="false">(Scenarios!$B$7-Scenarios!$B$8)*(1+Assumptions!$B$10)^$B124</f>
        <v>54.1229821292691</v>
      </c>
      <c r="H124" s="34" t="n">
        <f aca="false">D124*100/(Assumptions!$B$7*Assumptions!$B$6)</f>
        <v>29.0755129625729</v>
      </c>
      <c r="I124" s="34" t="n">
        <f aca="false">E124*100/(Assumptions!$B$7*Assumptions!$B$6)</f>
        <v>45.6900917983289</v>
      </c>
      <c r="J124" s="34" t="n">
        <f aca="false">F124*100/(Assumptions!$B$7*Assumptions!$B$6)</f>
        <v>65.2715597118985</v>
      </c>
      <c r="K124" s="34" t="n">
        <f aca="false">(Scenarios!$B$5+Scenarios!C$12*($A124&gt;=Assumptions!$B$14))*(1+Scenarios!C$13)^MAX(0,YEAR($A124)-Assumptions!$B$18+(MONTH($A124)&gt;=4))</f>
        <v>52.95</v>
      </c>
      <c r="L124" s="34" t="n">
        <f aca="false">(Scenarios!$B$5+Scenarios!D$12*($A124&gt;=Assumptions!$B$14))*(1+Scenarios!D$13)^MAX(0,YEAR($A124)-Assumptions!$B$18+(MONTH($A124)&gt;=4))</f>
        <v>72.6899587892813</v>
      </c>
      <c r="M124" s="34" t="n">
        <f aca="false">(Scenarios!$B$5+Scenarios!E$12*($A124&gt;=Assumptions!$B$14))*(1+Scenarios!E$13)^MAX(0,YEAR($A124)-Assumptions!$B$18+(MONTH($A124)&gt;=4))</f>
        <v>72.6899587892813</v>
      </c>
      <c r="N124" s="34" t="n">
        <f aca="false">$G124+H124</f>
        <v>83.198495091842</v>
      </c>
      <c r="O124" s="34" t="n">
        <f aca="false">$G124+I124</f>
        <v>99.813073927598</v>
      </c>
      <c r="P124" s="34" t="n">
        <f aca="false">$G124+J124</f>
        <v>119.394541841168</v>
      </c>
    </row>
    <row r="125" customFormat="false" ht="15" hidden="false" customHeight="false" outlineLevel="0" collapsed="false">
      <c r="A125" s="36" t="n">
        <f aca="false">Scenarios!A125</f>
        <v>49461</v>
      </c>
      <c r="B125" s="21" t="n">
        <f aca="false">Scenarios!B125</f>
        <v>8.75</v>
      </c>
      <c r="C125" s="44" t="n">
        <f aca="false">INDEX(Assumptions!$E$22:$E$32,MATCH(YEAR($A125),Assumptions!$A$22:$A$32,0))</f>
        <v>1.26414740742245</v>
      </c>
      <c r="D125" s="34" t="n">
        <f aca="false">Assumptions!$B$5+(INDEX(Assumptions!$B$22:$B$32,MATCH(YEAR($A125),Assumptions!$A$22:$A$32,0))*$C125-Assumptions!$B$5)*MIN(1,$B125/Assumptions!$B$11)</f>
        <v>61.9432229636998</v>
      </c>
      <c r="E125" s="34" t="n">
        <f aca="false">Assumptions!$B$5+(INDEX(Assumptions!$C$22:$C$32,MATCH(YEAR($A125),Assumptions!$A$22:$A$32,0))*$C125-Assumptions!$B$5)*MIN(1,$B125/Assumptions!$B$11)</f>
        <v>97.3393503715283</v>
      </c>
      <c r="F125" s="34" t="n">
        <f aca="false">Assumptions!$B$5+(INDEX(Assumptions!$D$22:$D$32,MATCH(YEAR($A125),Assumptions!$A$22:$A$32,0))*$C125-Assumptions!$B$5)*MIN(1,$B125/Assumptions!$B$11)</f>
        <v>139.056214816469</v>
      </c>
      <c r="G125" s="34" t="n">
        <f aca="false">(Scenarios!$B$7-Scenarios!$B$8)*(1+Assumptions!$B$10)^$B125</f>
        <v>54.2123706345579</v>
      </c>
      <c r="H125" s="34" t="n">
        <f aca="false">D125*100/(Assumptions!$B$7*Assumptions!$B$6)</f>
        <v>29.0755129625729</v>
      </c>
      <c r="I125" s="34" t="n">
        <f aca="false">E125*100/(Assumptions!$B$7*Assumptions!$B$6)</f>
        <v>45.6900917983289</v>
      </c>
      <c r="J125" s="34" t="n">
        <f aca="false">F125*100/(Assumptions!$B$7*Assumptions!$B$6)</f>
        <v>65.2715597118985</v>
      </c>
      <c r="K125" s="34" t="n">
        <f aca="false">(Scenarios!$B$5+Scenarios!C$12*($A125&gt;=Assumptions!$B$14))*(1+Scenarios!C$13)^MAX(0,YEAR($A125)-Assumptions!$B$18+(MONTH($A125)&gt;=4))</f>
        <v>52.95</v>
      </c>
      <c r="L125" s="34" t="n">
        <f aca="false">(Scenarios!$B$5+Scenarios!D$12*($A125&gt;=Assumptions!$B$14))*(1+Scenarios!D$13)^MAX(0,YEAR($A125)-Assumptions!$B$18+(MONTH($A125)&gt;=4))</f>
        <v>72.6899587892813</v>
      </c>
      <c r="M125" s="34" t="n">
        <f aca="false">(Scenarios!$B$5+Scenarios!E$12*($A125&gt;=Assumptions!$B$14))*(1+Scenarios!E$13)^MAX(0,YEAR($A125)-Assumptions!$B$18+(MONTH($A125)&gt;=4))</f>
        <v>72.6899587892813</v>
      </c>
      <c r="N125" s="34" t="n">
        <f aca="false">$G125+H125</f>
        <v>83.2878835971309</v>
      </c>
      <c r="O125" s="34" t="n">
        <f aca="false">$G125+I125</f>
        <v>99.9024624328868</v>
      </c>
      <c r="P125" s="34" t="n">
        <f aca="false">$G125+J125</f>
        <v>119.483930346456</v>
      </c>
    </row>
    <row r="126" customFormat="false" ht="15" hidden="false" customHeight="false" outlineLevel="0" collapsed="false">
      <c r="A126" s="36" t="n">
        <f aca="false">Scenarios!A126</f>
        <v>49491</v>
      </c>
      <c r="B126" s="21" t="n">
        <f aca="false">Scenarios!B126</f>
        <v>8.83333333333333</v>
      </c>
      <c r="C126" s="44" t="n">
        <f aca="false">INDEX(Assumptions!$E$22:$E$32,MATCH(YEAR($A126),Assumptions!$A$22:$A$32,0))</f>
        <v>1.26414740742245</v>
      </c>
      <c r="D126" s="34" t="n">
        <f aca="false">Assumptions!$B$5+(INDEX(Assumptions!$B$22:$B$32,MATCH(YEAR($A126),Assumptions!$A$22:$A$32,0))*$C126-Assumptions!$B$5)*MIN(1,$B126/Assumptions!$B$11)</f>
        <v>61.9432229636998</v>
      </c>
      <c r="E126" s="34" t="n">
        <f aca="false">Assumptions!$B$5+(INDEX(Assumptions!$C$22:$C$32,MATCH(YEAR($A126),Assumptions!$A$22:$A$32,0))*$C126-Assumptions!$B$5)*MIN(1,$B126/Assumptions!$B$11)</f>
        <v>97.3393503715283</v>
      </c>
      <c r="F126" s="34" t="n">
        <f aca="false">Assumptions!$B$5+(INDEX(Assumptions!$D$22:$D$32,MATCH(YEAR($A126),Assumptions!$A$22:$A$32,0))*$C126-Assumptions!$B$5)*MIN(1,$B126/Assumptions!$B$11)</f>
        <v>139.056214816469</v>
      </c>
      <c r="G126" s="34" t="n">
        <f aca="false">(Scenarios!$B$7-Scenarios!$B$8)*(1+Assumptions!$B$10)^$B126</f>
        <v>54.3019067722307</v>
      </c>
      <c r="H126" s="34" t="n">
        <f aca="false">D126*100/(Assumptions!$B$7*Assumptions!$B$6)</f>
        <v>29.0755129625729</v>
      </c>
      <c r="I126" s="34" t="n">
        <f aca="false">E126*100/(Assumptions!$B$7*Assumptions!$B$6)</f>
        <v>45.6900917983289</v>
      </c>
      <c r="J126" s="34" t="n">
        <f aca="false">F126*100/(Assumptions!$B$7*Assumptions!$B$6)</f>
        <v>65.2715597118985</v>
      </c>
      <c r="K126" s="34" t="n">
        <f aca="false">(Scenarios!$B$5+Scenarios!C$12*($A126&gt;=Assumptions!$B$14))*(1+Scenarios!C$13)^MAX(0,YEAR($A126)-Assumptions!$B$18+(MONTH($A126)&gt;=4))</f>
        <v>52.95</v>
      </c>
      <c r="L126" s="34" t="n">
        <f aca="false">(Scenarios!$B$5+Scenarios!D$12*($A126&gt;=Assumptions!$B$14))*(1+Scenarios!D$13)^MAX(0,YEAR($A126)-Assumptions!$B$18+(MONTH($A126)&gt;=4))</f>
        <v>72.6899587892813</v>
      </c>
      <c r="M126" s="34" t="n">
        <f aca="false">(Scenarios!$B$5+Scenarios!E$12*($A126&gt;=Assumptions!$B$14))*(1+Scenarios!E$13)^MAX(0,YEAR($A126)-Assumptions!$B$18+(MONTH($A126)&gt;=4))</f>
        <v>72.6899587892813</v>
      </c>
      <c r="N126" s="34" t="n">
        <f aca="false">$G126+H126</f>
        <v>83.3774197348037</v>
      </c>
      <c r="O126" s="34" t="n">
        <f aca="false">$G126+I126</f>
        <v>99.9919985705596</v>
      </c>
      <c r="P126" s="34" t="n">
        <f aca="false">$G126+J126</f>
        <v>119.573466484129</v>
      </c>
    </row>
    <row r="127" customFormat="false" ht="15" hidden="false" customHeight="false" outlineLevel="0" collapsed="false">
      <c r="A127" s="36" t="n">
        <f aca="false">Scenarios!A127</f>
        <v>49522</v>
      </c>
      <c r="B127" s="21" t="n">
        <f aca="false">Scenarios!B127</f>
        <v>8.91666666666667</v>
      </c>
      <c r="C127" s="44" t="n">
        <f aca="false">INDEX(Assumptions!$E$22:$E$32,MATCH(YEAR($A127),Assumptions!$A$22:$A$32,0))</f>
        <v>1.26414740742245</v>
      </c>
      <c r="D127" s="34" t="n">
        <f aca="false">Assumptions!$B$5+(INDEX(Assumptions!$B$22:$B$32,MATCH(YEAR($A127),Assumptions!$A$22:$A$32,0))*$C127-Assumptions!$B$5)*MIN(1,$B127/Assumptions!$B$11)</f>
        <v>61.9432229636998</v>
      </c>
      <c r="E127" s="34" t="n">
        <f aca="false">Assumptions!$B$5+(INDEX(Assumptions!$C$22:$C$32,MATCH(YEAR($A127),Assumptions!$A$22:$A$32,0))*$C127-Assumptions!$B$5)*MIN(1,$B127/Assumptions!$B$11)</f>
        <v>97.3393503715283</v>
      </c>
      <c r="F127" s="34" t="n">
        <f aca="false">Assumptions!$B$5+(INDEX(Assumptions!$D$22:$D$32,MATCH(YEAR($A127),Assumptions!$A$22:$A$32,0))*$C127-Assumptions!$B$5)*MIN(1,$B127/Assumptions!$B$11)</f>
        <v>139.056214816469</v>
      </c>
      <c r="G127" s="34" t="n">
        <f aca="false">(Scenarios!$B$7-Scenarios!$B$8)*(1+Assumptions!$B$10)^$B127</f>
        <v>54.3915907861144</v>
      </c>
      <c r="H127" s="34" t="n">
        <f aca="false">D127*100/(Assumptions!$B$7*Assumptions!$B$6)</f>
        <v>29.0755129625729</v>
      </c>
      <c r="I127" s="34" t="n">
        <f aca="false">E127*100/(Assumptions!$B$7*Assumptions!$B$6)</f>
        <v>45.6900917983289</v>
      </c>
      <c r="J127" s="34" t="n">
        <f aca="false">F127*100/(Assumptions!$B$7*Assumptions!$B$6)</f>
        <v>65.2715597118985</v>
      </c>
      <c r="K127" s="34" t="n">
        <f aca="false">(Scenarios!$B$5+Scenarios!C$12*($A127&gt;=Assumptions!$B$14))*(1+Scenarios!C$13)^MAX(0,YEAR($A127)-Assumptions!$B$18+(MONTH($A127)&gt;=4))</f>
        <v>52.95</v>
      </c>
      <c r="L127" s="34" t="n">
        <f aca="false">(Scenarios!$B$5+Scenarios!D$12*($A127&gt;=Assumptions!$B$14))*(1+Scenarios!D$13)^MAX(0,YEAR($A127)-Assumptions!$B$18+(MONTH($A127)&gt;=4))</f>
        <v>72.6899587892813</v>
      </c>
      <c r="M127" s="34" t="n">
        <f aca="false">(Scenarios!$B$5+Scenarios!E$12*($A127&gt;=Assumptions!$B$14))*(1+Scenarios!E$13)^MAX(0,YEAR($A127)-Assumptions!$B$18+(MONTH($A127)&gt;=4))</f>
        <v>72.6899587892813</v>
      </c>
      <c r="N127" s="34" t="n">
        <f aca="false">$G127+H127</f>
        <v>83.4671037486873</v>
      </c>
      <c r="O127" s="34" t="n">
        <f aca="false">$G127+I127</f>
        <v>100.081682584443</v>
      </c>
      <c r="P127" s="34" t="n">
        <f aca="false">$G127+J127</f>
        <v>119.663150498013</v>
      </c>
    </row>
    <row r="128" customFormat="false" ht="15" hidden="false" customHeight="false" outlineLevel="0" collapsed="false">
      <c r="A128" s="36" t="n">
        <f aca="false">Scenarios!A128</f>
        <v>49553</v>
      </c>
      <c r="B128" s="21" t="n">
        <f aca="false">Scenarios!B128</f>
        <v>9</v>
      </c>
      <c r="C128" s="44" t="n">
        <f aca="false">INDEX(Assumptions!$E$22:$E$32,MATCH(YEAR($A128),Assumptions!$A$22:$A$32,0))</f>
        <v>1.26414740742245</v>
      </c>
      <c r="D128" s="34" t="n">
        <f aca="false">Assumptions!$B$5+(INDEX(Assumptions!$B$22:$B$32,MATCH(YEAR($A128),Assumptions!$A$22:$A$32,0))*$C128-Assumptions!$B$5)*MIN(1,$B128/Assumptions!$B$11)</f>
        <v>61.9432229636998</v>
      </c>
      <c r="E128" s="34" t="n">
        <f aca="false">Assumptions!$B$5+(INDEX(Assumptions!$C$22:$C$32,MATCH(YEAR($A128),Assumptions!$A$22:$A$32,0))*$C128-Assumptions!$B$5)*MIN(1,$B128/Assumptions!$B$11)</f>
        <v>97.3393503715283</v>
      </c>
      <c r="F128" s="34" t="n">
        <f aca="false">Assumptions!$B$5+(INDEX(Assumptions!$D$22:$D$32,MATCH(YEAR($A128),Assumptions!$A$22:$A$32,0))*$C128-Assumptions!$B$5)*MIN(1,$B128/Assumptions!$B$11)</f>
        <v>139.056214816469</v>
      </c>
      <c r="G128" s="34" t="n">
        <f aca="false">(Scenarios!$B$7-Scenarios!$B$8)*(1+Assumptions!$B$10)^$B128</f>
        <v>54.4814229204384</v>
      </c>
      <c r="H128" s="34" t="n">
        <f aca="false">D128*100/(Assumptions!$B$7*Assumptions!$B$6)</f>
        <v>29.0755129625729</v>
      </c>
      <c r="I128" s="34" t="n">
        <f aca="false">E128*100/(Assumptions!$B$7*Assumptions!$B$6)</f>
        <v>45.6900917983289</v>
      </c>
      <c r="J128" s="34" t="n">
        <f aca="false">F128*100/(Assumptions!$B$7*Assumptions!$B$6)</f>
        <v>65.2715597118985</v>
      </c>
      <c r="K128" s="34" t="n">
        <f aca="false">(Scenarios!$B$5+Scenarios!C$12*($A128&gt;=Assumptions!$B$14))*(1+Scenarios!C$13)^MAX(0,YEAR($A128)-Assumptions!$B$18+(MONTH($A128)&gt;=4))</f>
        <v>52.95</v>
      </c>
      <c r="L128" s="34" t="n">
        <f aca="false">(Scenarios!$B$5+Scenarios!D$12*($A128&gt;=Assumptions!$B$14))*(1+Scenarios!D$13)^MAX(0,YEAR($A128)-Assumptions!$B$18+(MONTH($A128)&gt;=4))</f>
        <v>72.6899587892813</v>
      </c>
      <c r="M128" s="34" t="n">
        <f aca="false">(Scenarios!$B$5+Scenarios!E$12*($A128&gt;=Assumptions!$B$14))*(1+Scenarios!E$13)^MAX(0,YEAR($A128)-Assumptions!$B$18+(MONTH($A128)&gt;=4))</f>
        <v>72.6899587892813</v>
      </c>
      <c r="N128" s="34" t="n">
        <f aca="false">$G128+H128</f>
        <v>83.5569358830113</v>
      </c>
      <c r="O128" s="34" t="n">
        <f aca="false">$G128+I128</f>
        <v>100.171514718767</v>
      </c>
      <c r="P128" s="34" t="n">
        <f aca="false">$G128+J128</f>
        <v>119.752982632337</v>
      </c>
    </row>
    <row r="129" customFormat="false" ht="15" hidden="false" customHeight="false" outlineLevel="0" collapsed="false">
      <c r="A129" s="36" t="n">
        <f aca="false">Scenarios!A129</f>
        <v>49583</v>
      </c>
      <c r="B129" s="21" t="n">
        <f aca="false">Scenarios!B129</f>
        <v>9.08333333333333</v>
      </c>
      <c r="C129" s="44" t="n">
        <f aca="false">INDEX(Assumptions!$E$22:$E$32,MATCH(YEAR($A129),Assumptions!$A$22:$A$32,0))</f>
        <v>1.26414740742245</v>
      </c>
      <c r="D129" s="34" t="n">
        <f aca="false">Assumptions!$B$5+(INDEX(Assumptions!$B$22:$B$32,MATCH(YEAR($A129),Assumptions!$A$22:$A$32,0))*$C129-Assumptions!$B$5)*MIN(1,$B129/Assumptions!$B$11)</f>
        <v>61.9432229636998</v>
      </c>
      <c r="E129" s="34" t="n">
        <f aca="false">Assumptions!$B$5+(INDEX(Assumptions!$C$22:$C$32,MATCH(YEAR($A129),Assumptions!$A$22:$A$32,0))*$C129-Assumptions!$B$5)*MIN(1,$B129/Assumptions!$B$11)</f>
        <v>97.3393503715283</v>
      </c>
      <c r="F129" s="34" t="n">
        <f aca="false">Assumptions!$B$5+(INDEX(Assumptions!$D$22:$D$32,MATCH(YEAR($A129),Assumptions!$A$22:$A$32,0))*$C129-Assumptions!$B$5)*MIN(1,$B129/Assumptions!$B$11)</f>
        <v>139.056214816469</v>
      </c>
      <c r="G129" s="34" t="n">
        <f aca="false">(Scenarios!$B$7-Scenarios!$B$8)*(1+Assumptions!$B$10)^$B129</f>
        <v>54.5714034198358</v>
      </c>
      <c r="H129" s="34" t="n">
        <f aca="false">D129*100/(Assumptions!$B$7*Assumptions!$B$6)</f>
        <v>29.0755129625729</v>
      </c>
      <c r="I129" s="34" t="n">
        <f aca="false">E129*100/(Assumptions!$B$7*Assumptions!$B$6)</f>
        <v>45.6900917983289</v>
      </c>
      <c r="J129" s="34" t="n">
        <f aca="false">F129*100/(Assumptions!$B$7*Assumptions!$B$6)</f>
        <v>65.2715597118985</v>
      </c>
      <c r="K129" s="34" t="n">
        <f aca="false">(Scenarios!$B$5+Scenarios!C$12*($A129&gt;=Assumptions!$B$14))*(1+Scenarios!C$13)^MAX(0,YEAR($A129)-Assumptions!$B$18+(MONTH($A129)&gt;=4))</f>
        <v>52.95</v>
      </c>
      <c r="L129" s="34" t="n">
        <f aca="false">(Scenarios!$B$5+Scenarios!D$12*($A129&gt;=Assumptions!$B$14))*(1+Scenarios!D$13)^MAX(0,YEAR($A129)-Assumptions!$B$18+(MONTH($A129)&gt;=4))</f>
        <v>72.6899587892813</v>
      </c>
      <c r="M129" s="34" t="n">
        <f aca="false">(Scenarios!$B$5+Scenarios!E$12*($A129&gt;=Assumptions!$B$14))*(1+Scenarios!E$13)^MAX(0,YEAR($A129)-Assumptions!$B$18+(MONTH($A129)&gt;=4))</f>
        <v>72.6899587892813</v>
      </c>
      <c r="N129" s="34" t="n">
        <f aca="false">$G129+H129</f>
        <v>83.6469163824087</v>
      </c>
      <c r="O129" s="34" t="n">
        <f aca="false">$G129+I129</f>
        <v>100.261495218165</v>
      </c>
      <c r="P129" s="34" t="n">
        <f aca="false">$G129+J129</f>
        <v>119.842963131734</v>
      </c>
    </row>
    <row r="130" customFormat="false" ht="15" hidden="false" customHeight="false" outlineLevel="0" collapsed="false">
      <c r="A130" s="36" t="n">
        <f aca="false">Scenarios!A130</f>
        <v>49614</v>
      </c>
      <c r="B130" s="21" t="n">
        <f aca="false">Scenarios!B130</f>
        <v>9.16666666666667</v>
      </c>
      <c r="C130" s="44" t="n">
        <f aca="false">INDEX(Assumptions!$E$22:$E$32,MATCH(YEAR($A130),Assumptions!$A$22:$A$32,0))</f>
        <v>1.26414740742245</v>
      </c>
      <c r="D130" s="34" t="n">
        <f aca="false">Assumptions!$B$5+(INDEX(Assumptions!$B$22:$B$32,MATCH(YEAR($A130),Assumptions!$A$22:$A$32,0))*$C130-Assumptions!$B$5)*MIN(1,$B130/Assumptions!$B$11)</f>
        <v>61.9432229636998</v>
      </c>
      <c r="E130" s="34" t="n">
        <f aca="false">Assumptions!$B$5+(INDEX(Assumptions!$C$22:$C$32,MATCH(YEAR($A130),Assumptions!$A$22:$A$32,0))*$C130-Assumptions!$B$5)*MIN(1,$B130/Assumptions!$B$11)</f>
        <v>97.3393503715283</v>
      </c>
      <c r="F130" s="34" t="n">
        <f aca="false">Assumptions!$B$5+(INDEX(Assumptions!$D$22:$D$32,MATCH(YEAR($A130),Assumptions!$A$22:$A$32,0))*$C130-Assumptions!$B$5)*MIN(1,$B130/Assumptions!$B$11)</f>
        <v>139.056214816469</v>
      </c>
      <c r="G130" s="34" t="n">
        <f aca="false">(Scenarios!$B$7-Scenarios!$B$8)*(1+Assumptions!$B$10)^$B130</f>
        <v>54.6615325293435</v>
      </c>
      <c r="H130" s="34" t="n">
        <f aca="false">D130*100/(Assumptions!$B$7*Assumptions!$B$6)</f>
        <v>29.0755129625729</v>
      </c>
      <c r="I130" s="34" t="n">
        <f aca="false">E130*100/(Assumptions!$B$7*Assumptions!$B$6)</f>
        <v>45.6900917983289</v>
      </c>
      <c r="J130" s="34" t="n">
        <f aca="false">F130*100/(Assumptions!$B$7*Assumptions!$B$6)</f>
        <v>65.2715597118985</v>
      </c>
      <c r="K130" s="34" t="n">
        <f aca="false">(Scenarios!$B$5+Scenarios!C$12*($A130&gt;=Assumptions!$B$14))*(1+Scenarios!C$13)^MAX(0,YEAR($A130)-Assumptions!$B$18+(MONTH($A130)&gt;=4))</f>
        <v>52.95</v>
      </c>
      <c r="L130" s="34" t="n">
        <f aca="false">(Scenarios!$B$5+Scenarios!D$12*($A130&gt;=Assumptions!$B$14))*(1+Scenarios!D$13)^MAX(0,YEAR($A130)-Assumptions!$B$18+(MONTH($A130)&gt;=4))</f>
        <v>72.6899587892813</v>
      </c>
      <c r="M130" s="34" t="n">
        <f aca="false">(Scenarios!$B$5+Scenarios!E$12*($A130&gt;=Assumptions!$B$14))*(1+Scenarios!E$13)^MAX(0,YEAR($A130)-Assumptions!$B$18+(MONTH($A130)&gt;=4))</f>
        <v>72.6899587892813</v>
      </c>
      <c r="N130" s="34" t="n">
        <f aca="false">$G130+H130</f>
        <v>83.7370454919165</v>
      </c>
      <c r="O130" s="34" t="n">
        <f aca="false">$G130+I130</f>
        <v>100.351624327672</v>
      </c>
      <c r="P130" s="34" t="n">
        <f aca="false">$G130+J130</f>
        <v>119.933092241242</v>
      </c>
    </row>
    <row r="131" customFormat="false" ht="15" hidden="false" customHeight="false" outlineLevel="0" collapsed="false">
      <c r="A131" s="36" t="n">
        <f aca="false">Scenarios!A131</f>
        <v>49644</v>
      </c>
      <c r="B131" s="21" t="n">
        <f aca="false">Scenarios!B131</f>
        <v>9.25</v>
      </c>
      <c r="C131" s="44" t="n">
        <f aca="false">INDEX(Assumptions!$E$22:$E$32,MATCH(YEAR($A131),Assumptions!$A$22:$A$32,0))</f>
        <v>1.26414740742245</v>
      </c>
      <c r="D131" s="34" t="n">
        <f aca="false">Assumptions!$B$5+(INDEX(Assumptions!$B$22:$B$32,MATCH(YEAR($A131),Assumptions!$A$22:$A$32,0))*$C131-Assumptions!$B$5)*MIN(1,$B131/Assumptions!$B$11)</f>
        <v>61.9432229636998</v>
      </c>
      <c r="E131" s="34" t="n">
        <f aca="false">Assumptions!$B$5+(INDEX(Assumptions!$C$22:$C$32,MATCH(YEAR($A131),Assumptions!$A$22:$A$32,0))*$C131-Assumptions!$B$5)*MIN(1,$B131/Assumptions!$B$11)</f>
        <v>97.3393503715283</v>
      </c>
      <c r="F131" s="34" t="n">
        <f aca="false">Assumptions!$B$5+(INDEX(Assumptions!$D$22:$D$32,MATCH(YEAR($A131),Assumptions!$A$22:$A$32,0))*$C131-Assumptions!$B$5)*MIN(1,$B131/Assumptions!$B$11)</f>
        <v>139.056214816469</v>
      </c>
      <c r="G131" s="34" t="n">
        <f aca="false">(Scenarios!$B$7-Scenarios!$B$8)*(1+Assumptions!$B$10)^$B131</f>
        <v>54.7518104944033</v>
      </c>
      <c r="H131" s="34" t="n">
        <f aca="false">D131*100/(Assumptions!$B$7*Assumptions!$B$6)</f>
        <v>29.0755129625729</v>
      </c>
      <c r="I131" s="34" t="n">
        <f aca="false">E131*100/(Assumptions!$B$7*Assumptions!$B$6)</f>
        <v>45.6900917983289</v>
      </c>
      <c r="J131" s="34" t="n">
        <f aca="false">F131*100/(Assumptions!$B$7*Assumptions!$B$6)</f>
        <v>65.2715597118985</v>
      </c>
      <c r="K131" s="34" t="n">
        <f aca="false">(Scenarios!$B$5+Scenarios!C$12*($A131&gt;=Assumptions!$B$14))*(1+Scenarios!C$13)^MAX(0,YEAR($A131)-Assumptions!$B$18+(MONTH($A131)&gt;=4))</f>
        <v>52.95</v>
      </c>
      <c r="L131" s="34" t="n">
        <f aca="false">(Scenarios!$B$5+Scenarios!D$12*($A131&gt;=Assumptions!$B$14))*(1+Scenarios!D$13)^MAX(0,YEAR($A131)-Assumptions!$B$18+(MONTH($A131)&gt;=4))</f>
        <v>72.6899587892813</v>
      </c>
      <c r="M131" s="34" t="n">
        <f aca="false">(Scenarios!$B$5+Scenarios!E$12*($A131&gt;=Assumptions!$B$14))*(1+Scenarios!E$13)^MAX(0,YEAR($A131)-Assumptions!$B$18+(MONTH($A131)&gt;=4))</f>
        <v>72.6899587892813</v>
      </c>
      <c r="N131" s="34" t="n">
        <f aca="false">$G131+H131</f>
        <v>83.8273234569763</v>
      </c>
      <c r="O131" s="34" t="n">
        <f aca="false">$G131+I131</f>
        <v>100.441902292732</v>
      </c>
      <c r="P131" s="34" t="n">
        <f aca="false">$G131+J131</f>
        <v>120.023370206302</v>
      </c>
    </row>
    <row r="132" customFormat="false" ht="15" hidden="false" customHeight="false" outlineLevel="0" collapsed="false">
      <c r="A132" s="36" t="n">
        <f aca="false">Scenarios!A132</f>
        <v>49675</v>
      </c>
      <c r="B132" s="21" t="n">
        <f aca="false">Scenarios!B132</f>
        <v>9.33333333333333</v>
      </c>
      <c r="C132" s="44" t="n">
        <f aca="false">INDEX(Assumptions!$E$22:$E$32,MATCH(YEAR($A132),Assumptions!$A$22:$A$32,0))</f>
        <v>1.28943035557089</v>
      </c>
      <c r="D132" s="34" t="n">
        <f aca="false">Assumptions!$B$5+(INDEX(Assumptions!$B$22:$B$32,MATCH(YEAR($A132),Assumptions!$A$22:$A$32,0))*$C132-Assumptions!$B$5)*MIN(1,$B132/Assumptions!$B$11)</f>
        <v>64.4715177785447</v>
      </c>
      <c r="E132" s="34" t="n">
        <f aca="false">Assumptions!$B$5+(INDEX(Assumptions!$C$22:$C$32,MATCH(YEAR($A132),Assumptions!$A$22:$A$32,0))*$C132-Assumptions!$B$5)*MIN(1,$B132/Assumptions!$B$11)</f>
        <v>101.864998090101</v>
      </c>
      <c r="F132" s="34" t="n">
        <f aca="false">Assumptions!$B$5+(INDEX(Assumptions!$D$22:$D$32,MATCH(YEAR($A132),Assumptions!$A$22:$A$32,0))*$C132-Assumptions!$B$5)*MIN(1,$B132/Assumptions!$B$11)</f>
        <v>144.41619982394</v>
      </c>
      <c r="G132" s="34" t="n">
        <f aca="false">(Scenarios!$B$7-Scenarios!$B$8)*(1+Assumptions!$B$10)^$B132</f>
        <v>54.8422375608621</v>
      </c>
      <c r="H132" s="34" t="n">
        <f aca="false">D132*100/(Assumptions!$B$7*Assumptions!$B$6)</f>
        <v>30.2622685936984</v>
      </c>
      <c r="I132" s="34" t="n">
        <f aca="false">E132*100/(Assumptions!$B$7*Assumptions!$B$6)</f>
        <v>47.8143843780434</v>
      </c>
      <c r="J132" s="34" t="n">
        <f aca="false">F132*100/(Assumptions!$B$7*Assumptions!$B$6)</f>
        <v>67.7874816498843</v>
      </c>
      <c r="K132" s="34" t="n">
        <f aca="false">(Scenarios!$B$5+Scenarios!C$12*($A132&gt;=Assumptions!$B$14))*(1+Scenarios!C$13)^MAX(0,YEAR($A132)-Assumptions!$B$18+(MONTH($A132)&gt;=4))</f>
        <v>52.95</v>
      </c>
      <c r="L132" s="34" t="n">
        <f aca="false">(Scenarios!$B$5+Scenarios!D$12*($A132&gt;=Assumptions!$B$14))*(1+Scenarios!D$13)^MAX(0,YEAR($A132)-Assumptions!$B$18+(MONTH($A132)&gt;=4))</f>
        <v>72.6899587892813</v>
      </c>
      <c r="M132" s="34" t="n">
        <f aca="false">(Scenarios!$B$5+Scenarios!E$12*($A132&gt;=Assumptions!$B$14))*(1+Scenarios!E$13)^MAX(0,YEAR($A132)-Assumptions!$B$18+(MONTH($A132)&gt;=4))</f>
        <v>72.6899587892813</v>
      </c>
      <c r="N132" s="34" t="n">
        <f aca="false">$G132+H132</f>
        <v>85.1045061545605</v>
      </c>
      <c r="O132" s="34" t="n">
        <f aca="false">$G132+I132</f>
        <v>102.656621938906</v>
      </c>
      <c r="P132" s="34" t="n">
        <f aca="false">$G132+J132</f>
        <v>122.629719210746</v>
      </c>
    </row>
    <row r="133" customFormat="false" ht="15" hidden="false" customHeight="false" outlineLevel="0" collapsed="false">
      <c r="A133" s="36" t="n">
        <f aca="false">Scenarios!A133</f>
        <v>49706</v>
      </c>
      <c r="B133" s="21" t="n">
        <f aca="false">Scenarios!B133</f>
        <v>9.41666666666667</v>
      </c>
      <c r="C133" s="44" t="n">
        <f aca="false">INDEX(Assumptions!$E$22:$E$32,MATCH(YEAR($A133),Assumptions!$A$22:$A$32,0))</f>
        <v>1.28943035557089</v>
      </c>
      <c r="D133" s="34" t="n">
        <f aca="false">Assumptions!$B$5+(INDEX(Assumptions!$B$22:$B$32,MATCH(YEAR($A133),Assumptions!$A$22:$A$32,0))*$C133-Assumptions!$B$5)*MIN(1,$B133/Assumptions!$B$11)</f>
        <v>64.4715177785447</v>
      </c>
      <c r="E133" s="34" t="n">
        <f aca="false">Assumptions!$B$5+(INDEX(Assumptions!$C$22:$C$32,MATCH(YEAR($A133),Assumptions!$A$22:$A$32,0))*$C133-Assumptions!$B$5)*MIN(1,$B133/Assumptions!$B$11)</f>
        <v>101.864998090101</v>
      </c>
      <c r="F133" s="34" t="n">
        <f aca="false">Assumptions!$B$5+(INDEX(Assumptions!$D$22:$D$32,MATCH(YEAR($A133),Assumptions!$A$22:$A$32,0))*$C133-Assumptions!$B$5)*MIN(1,$B133/Assumptions!$B$11)</f>
        <v>144.41619982394</v>
      </c>
      <c r="G133" s="34" t="n">
        <f aca="false">(Scenarios!$B$7-Scenarios!$B$8)*(1+Assumptions!$B$10)^$B133</f>
        <v>54.9328139749731</v>
      </c>
      <c r="H133" s="34" t="n">
        <f aca="false">D133*100/(Assumptions!$B$7*Assumptions!$B$6)</f>
        <v>30.2622685936984</v>
      </c>
      <c r="I133" s="34" t="n">
        <f aca="false">E133*100/(Assumptions!$B$7*Assumptions!$B$6)</f>
        <v>47.8143843780434</v>
      </c>
      <c r="J133" s="34" t="n">
        <f aca="false">F133*100/(Assumptions!$B$7*Assumptions!$B$6)</f>
        <v>67.7874816498843</v>
      </c>
      <c r="K133" s="34" t="n">
        <f aca="false">(Scenarios!$B$5+Scenarios!C$12*($A133&gt;=Assumptions!$B$14))*(1+Scenarios!C$13)^MAX(0,YEAR($A133)-Assumptions!$B$18+(MONTH($A133)&gt;=4))</f>
        <v>52.95</v>
      </c>
      <c r="L133" s="34" t="n">
        <f aca="false">(Scenarios!$B$5+Scenarios!D$12*($A133&gt;=Assumptions!$B$14))*(1+Scenarios!D$13)^MAX(0,YEAR($A133)-Assumptions!$B$18+(MONTH($A133)&gt;=4))</f>
        <v>72.6899587892813</v>
      </c>
      <c r="M133" s="34" t="n">
        <f aca="false">(Scenarios!$B$5+Scenarios!E$12*($A133&gt;=Assumptions!$B$14))*(1+Scenarios!E$13)^MAX(0,YEAR($A133)-Assumptions!$B$18+(MONTH($A133)&gt;=4))</f>
        <v>72.6899587892813</v>
      </c>
      <c r="N133" s="34" t="n">
        <f aca="false">$G133+H133</f>
        <v>85.1950825686715</v>
      </c>
      <c r="O133" s="34" t="n">
        <f aca="false">$G133+I133</f>
        <v>102.747198353017</v>
      </c>
      <c r="P133" s="34" t="n">
        <f aca="false">$G133+J133</f>
        <v>122.720295624857</v>
      </c>
    </row>
    <row r="134" customFormat="false" ht="15" hidden="false" customHeight="false" outlineLevel="0" collapsed="false">
      <c r="A134" s="36" t="n">
        <f aca="false">Scenarios!A134</f>
        <v>49735</v>
      </c>
      <c r="B134" s="21" t="n">
        <f aca="false">Scenarios!B134</f>
        <v>9.5</v>
      </c>
      <c r="C134" s="44" t="n">
        <f aca="false">INDEX(Assumptions!$E$22:$E$32,MATCH(YEAR($A134),Assumptions!$A$22:$A$32,0))</f>
        <v>1.28943035557089</v>
      </c>
      <c r="D134" s="34" t="n">
        <f aca="false">Assumptions!$B$5+(INDEX(Assumptions!$B$22:$B$32,MATCH(YEAR($A134),Assumptions!$A$22:$A$32,0))*$C134-Assumptions!$B$5)*MIN(1,$B134/Assumptions!$B$11)</f>
        <v>64.4715177785447</v>
      </c>
      <c r="E134" s="34" t="n">
        <f aca="false">Assumptions!$B$5+(INDEX(Assumptions!$C$22:$C$32,MATCH(YEAR($A134),Assumptions!$A$22:$A$32,0))*$C134-Assumptions!$B$5)*MIN(1,$B134/Assumptions!$B$11)</f>
        <v>101.864998090101</v>
      </c>
      <c r="F134" s="34" t="n">
        <f aca="false">Assumptions!$B$5+(INDEX(Assumptions!$D$22:$D$32,MATCH(YEAR($A134),Assumptions!$A$22:$A$32,0))*$C134-Assumptions!$B$5)*MIN(1,$B134/Assumptions!$B$11)</f>
        <v>144.41619982394</v>
      </c>
      <c r="G134" s="34" t="n">
        <f aca="false">(Scenarios!$B$7-Scenarios!$B$8)*(1+Assumptions!$B$10)^$B134</f>
        <v>55.0235399833961</v>
      </c>
      <c r="H134" s="34" t="n">
        <f aca="false">D134*100/(Assumptions!$B$7*Assumptions!$B$6)</f>
        <v>30.2622685936984</v>
      </c>
      <c r="I134" s="34" t="n">
        <f aca="false">E134*100/(Assumptions!$B$7*Assumptions!$B$6)</f>
        <v>47.8143843780434</v>
      </c>
      <c r="J134" s="34" t="n">
        <f aca="false">F134*100/(Assumptions!$B$7*Assumptions!$B$6)</f>
        <v>67.7874816498843</v>
      </c>
      <c r="K134" s="34" t="n">
        <f aca="false">(Scenarios!$B$5+Scenarios!C$12*($A134&gt;=Assumptions!$B$14))*(1+Scenarios!C$13)^MAX(0,YEAR($A134)-Assumptions!$B$18+(MONTH($A134)&gt;=4))</f>
        <v>52.95</v>
      </c>
      <c r="L134" s="34" t="n">
        <f aca="false">(Scenarios!$B$5+Scenarios!D$12*($A134&gt;=Assumptions!$B$14))*(1+Scenarios!D$13)^MAX(0,YEAR($A134)-Assumptions!$B$18+(MONTH($A134)&gt;=4))</f>
        <v>72.6899587892813</v>
      </c>
      <c r="M134" s="34" t="n">
        <f aca="false">(Scenarios!$B$5+Scenarios!E$12*($A134&gt;=Assumptions!$B$14))*(1+Scenarios!E$13)^MAX(0,YEAR($A134)-Assumptions!$B$18+(MONTH($A134)&gt;=4))</f>
        <v>72.6899587892813</v>
      </c>
      <c r="N134" s="34" t="n">
        <f aca="false">$G134+H134</f>
        <v>85.2858085770944</v>
      </c>
      <c r="O134" s="34" t="n">
        <f aca="false">$G134+I134</f>
        <v>102.837924361439</v>
      </c>
      <c r="P134" s="34" t="n">
        <f aca="false">$G134+J134</f>
        <v>122.81102163328</v>
      </c>
    </row>
    <row r="135" customFormat="false" ht="15" hidden="false" customHeight="false" outlineLevel="0" collapsed="false">
      <c r="A135" s="36" t="n">
        <f aca="false">Scenarios!A135</f>
        <v>49766</v>
      </c>
      <c r="B135" s="21" t="n">
        <f aca="false">Scenarios!B135</f>
        <v>9.58333333333333</v>
      </c>
      <c r="C135" s="44" t="n">
        <f aca="false">INDEX(Assumptions!$E$22:$E$32,MATCH(YEAR($A135),Assumptions!$A$22:$A$32,0))</f>
        <v>1.28943035557089</v>
      </c>
      <c r="D135" s="34" t="n">
        <f aca="false">Assumptions!$B$5+(INDEX(Assumptions!$B$22:$B$32,MATCH(YEAR($A135),Assumptions!$A$22:$A$32,0))*$C135-Assumptions!$B$5)*MIN(1,$B135/Assumptions!$B$11)</f>
        <v>64.4715177785447</v>
      </c>
      <c r="E135" s="34" t="n">
        <f aca="false">Assumptions!$B$5+(INDEX(Assumptions!$C$22:$C$32,MATCH(YEAR($A135),Assumptions!$A$22:$A$32,0))*$C135-Assumptions!$B$5)*MIN(1,$B135/Assumptions!$B$11)</f>
        <v>101.864998090101</v>
      </c>
      <c r="F135" s="34" t="n">
        <f aca="false">Assumptions!$B$5+(INDEX(Assumptions!$D$22:$D$32,MATCH(YEAR($A135),Assumptions!$A$22:$A$32,0))*$C135-Assumptions!$B$5)*MIN(1,$B135/Assumptions!$B$11)</f>
        <v>144.41619982394</v>
      </c>
      <c r="G135" s="34" t="n">
        <f aca="false">(Scenarios!$B$7-Scenarios!$B$8)*(1+Assumptions!$B$10)^$B135</f>
        <v>55.1144158331981</v>
      </c>
      <c r="H135" s="34" t="n">
        <f aca="false">D135*100/(Assumptions!$B$7*Assumptions!$B$6)</f>
        <v>30.2622685936984</v>
      </c>
      <c r="I135" s="34" t="n">
        <f aca="false">E135*100/(Assumptions!$B$7*Assumptions!$B$6)</f>
        <v>47.8143843780434</v>
      </c>
      <c r="J135" s="34" t="n">
        <f aca="false">F135*100/(Assumptions!$B$7*Assumptions!$B$6)</f>
        <v>67.7874816498843</v>
      </c>
      <c r="K135" s="34" t="n">
        <f aca="false">(Scenarios!$B$5+Scenarios!C$12*($A135&gt;=Assumptions!$B$14))*(1+Scenarios!C$13)^MAX(0,YEAR($A135)-Assumptions!$B$18+(MONTH($A135)&gt;=4))</f>
        <v>52.95</v>
      </c>
      <c r="L135" s="34" t="n">
        <f aca="false">(Scenarios!$B$5+Scenarios!D$12*($A135&gt;=Assumptions!$B$14))*(1+Scenarios!D$13)^MAX(0,YEAR($A135)-Assumptions!$B$18+(MONTH($A135)&gt;=4))</f>
        <v>74.543552738408</v>
      </c>
      <c r="M135" s="34" t="n">
        <f aca="false">(Scenarios!$B$5+Scenarios!E$12*($A135&gt;=Assumptions!$B$14))*(1+Scenarios!E$13)^MAX(0,YEAR($A135)-Assumptions!$B$18+(MONTH($A135)&gt;=4))</f>
        <v>74.543552738408</v>
      </c>
      <c r="N135" s="34" t="n">
        <f aca="false">$G135+H135</f>
        <v>85.3766844268965</v>
      </c>
      <c r="O135" s="34" t="n">
        <f aca="false">$G135+I135</f>
        <v>102.928800211242</v>
      </c>
      <c r="P135" s="34" t="n">
        <f aca="false">$G135+J135</f>
        <v>122.901897483082</v>
      </c>
    </row>
    <row r="136" customFormat="false" ht="15" hidden="false" customHeight="false" outlineLevel="0" collapsed="false">
      <c r="A136" s="36" t="n">
        <f aca="false">Scenarios!A136</f>
        <v>49796</v>
      </c>
      <c r="B136" s="21" t="n">
        <f aca="false">Scenarios!B136</f>
        <v>9.66666666666667</v>
      </c>
      <c r="C136" s="44" t="n">
        <f aca="false">INDEX(Assumptions!$E$22:$E$32,MATCH(YEAR($A136),Assumptions!$A$22:$A$32,0))</f>
        <v>1.28943035557089</v>
      </c>
      <c r="D136" s="34" t="n">
        <f aca="false">Assumptions!$B$5+(INDEX(Assumptions!$B$22:$B$32,MATCH(YEAR($A136),Assumptions!$A$22:$A$32,0))*$C136-Assumptions!$B$5)*MIN(1,$B136/Assumptions!$B$11)</f>
        <v>64.4715177785447</v>
      </c>
      <c r="E136" s="34" t="n">
        <f aca="false">Assumptions!$B$5+(INDEX(Assumptions!$C$22:$C$32,MATCH(YEAR($A136),Assumptions!$A$22:$A$32,0))*$C136-Assumptions!$B$5)*MIN(1,$B136/Assumptions!$B$11)</f>
        <v>101.864998090101</v>
      </c>
      <c r="F136" s="34" t="n">
        <f aca="false">Assumptions!$B$5+(INDEX(Assumptions!$D$22:$D$32,MATCH(YEAR($A136),Assumptions!$A$22:$A$32,0))*$C136-Assumptions!$B$5)*MIN(1,$B136/Assumptions!$B$11)</f>
        <v>144.41619982394</v>
      </c>
      <c r="G136" s="34" t="n">
        <f aca="false">(Scenarios!$B$7-Scenarios!$B$8)*(1+Assumptions!$B$10)^$B136</f>
        <v>55.2054417718544</v>
      </c>
      <c r="H136" s="34" t="n">
        <f aca="false">D136*100/(Assumptions!$B$7*Assumptions!$B$6)</f>
        <v>30.2622685936984</v>
      </c>
      <c r="I136" s="34" t="n">
        <f aca="false">E136*100/(Assumptions!$B$7*Assumptions!$B$6)</f>
        <v>47.8143843780434</v>
      </c>
      <c r="J136" s="34" t="n">
        <f aca="false">F136*100/(Assumptions!$B$7*Assumptions!$B$6)</f>
        <v>67.7874816498843</v>
      </c>
      <c r="K136" s="34" t="n">
        <f aca="false">(Scenarios!$B$5+Scenarios!C$12*($A136&gt;=Assumptions!$B$14))*(1+Scenarios!C$13)^MAX(0,YEAR($A136)-Assumptions!$B$18+(MONTH($A136)&gt;=4))</f>
        <v>52.95</v>
      </c>
      <c r="L136" s="34" t="n">
        <f aca="false">(Scenarios!$B$5+Scenarios!D$12*($A136&gt;=Assumptions!$B$14))*(1+Scenarios!D$13)^MAX(0,YEAR($A136)-Assumptions!$B$18+(MONTH($A136)&gt;=4))</f>
        <v>74.543552738408</v>
      </c>
      <c r="M136" s="34" t="n">
        <f aca="false">(Scenarios!$B$5+Scenarios!E$12*($A136&gt;=Assumptions!$B$14))*(1+Scenarios!E$13)^MAX(0,YEAR($A136)-Assumptions!$B$18+(MONTH($A136)&gt;=4))</f>
        <v>74.543552738408</v>
      </c>
      <c r="N136" s="34" t="n">
        <f aca="false">$G136+H136</f>
        <v>85.4677103655528</v>
      </c>
      <c r="O136" s="34" t="n">
        <f aca="false">$G136+I136</f>
        <v>103.019826149898</v>
      </c>
      <c r="P136" s="34" t="n">
        <f aca="false">$G136+J136</f>
        <v>122.992923421739</v>
      </c>
    </row>
    <row r="137" customFormat="false" ht="15" hidden="false" customHeight="false" outlineLevel="0" collapsed="false">
      <c r="A137" s="36" t="n">
        <f aca="false">Scenarios!A137</f>
        <v>49827</v>
      </c>
      <c r="B137" s="21" t="n">
        <f aca="false">Scenarios!B137</f>
        <v>9.75</v>
      </c>
      <c r="C137" s="44" t="n">
        <f aca="false">INDEX(Assumptions!$E$22:$E$32,MATCH(YEAR($A137),Assumptions!$A$22:$A$32,0))</f>
        <v>1.28943035557089</v>
      </c>
      <c r="D137" s="34" t="n">
        <f aca="false">Assumptions!$B$5+(INDEX(Assumptions!$B$22:$B$32,MATCH(YEAR($A137),Assumptions!$A$22:$A$32,0))*$C137-Assumptions!$B$5)*MIN(1,$B137/Assumptions!$B$11)</f>
        <v>64.4715177785447</v>
      </c>
      <c r="E137" s="34" t="n">
        <f aca="false">Assumptions!$B$5+(INDEX(Assumptions!$C$22:$C$32,MATCH(YEAR($A137),Assumptions!$A$22:$A$32,0))*$C137-Assumptions!$B$5)*MIN(1,$B137/Assumptions!$B$11)</f>
        <v>101.864998090101</v>
      </c>
      <c r="F137" s="34" t="n">
        <f aca="false">Assumptions!$B$5+(INDEX(Assumptions!$D$22:$D$32,MATCH(YEAR($A137),Assumptions!$A$22:$A$32,0))*$C137-Assumptions!$B$5)*MIN(1,$B137/Assumptions!$B$11)</f>
        <v>144.41619982394</v>
      </c>
      <c r="G137" s="34" t="n">
        <f aca="false">(Scenarios!$B$7-Scenarios!$B$8)*(1+Assumptions!$B$10)^$B137</f>
        <v>55.2966180472491</v>
      </c>
      <c r="H137" s="34" t="n">
        <f aca="false">D137*100/(Assumptions!$B$7*Assumptions!$B$6)</f>
        <v>30.2622685936984</v>
      </c>
      <c r="I137" s="34" t="n">
        <f aca="false">E137*100/(Assumptions!$B$7*Assumptions!$B$6)</f>
        <v>47.8143843780434</v>
      </c>
      <c r="J137" s="34" t="n">
        <f aca="false">F137*100/(Assumptions!$B$7*Assumptions!$B$6)</f>
        <v>67.7874816498843</v>
      </c>
      <c r="K137" s="34" t="n">
        <f aca="false">(Scenarios!$B$5+Scenarios!C$12*($A137&gt;=Assumptions!$B$14))*(1+Scenarios!C$13)^MAX(0,YEAR($A137)-Assumptions!$B$18+(MONTH($A137)&gt;=4))</f>
        <v>52.95</v>
      </c>
      <c r="L137" s="34" t="n">
        <f aca="false">(Scenarios!$B$5+Scenarios!D$12*($A137&gt;=Assumptions!$B$14))*(1+Scenarios!D$13)^MAX(0,YEAR($A137)-Assumptions!$B$18+(MONTH($A137)&gt;=4))</f>
        <v>74.543552738408</v>
      </c>
      <c r="M137" s="34" t="n">
        <f aca="false">(Scenarios!$B$5+Scenarios!E$12*($A137&gt;=Assumptions!$B$14))*(1+Scenarios!E$13)^MAX(0,YEAR($A137)-Assumptions!$B$18+(MONTH($A137)&gt;=4))</f>
        <v>74.543552738408</v>
      </c>
      <c r="N137" s="34" t="n">
        <f aca="false">$G137+H137</f>
        <v>85.5588866409475</v>
      </c>
      <c r="O137" s="34" t="n">
        <f aca="false">$G137+I137</f>
        <v>103.111002425293</v>
      </c>
      <c r="P137" s="34" t="n">
        <f aca="false">$G137+J137</f>
        <v>123.084099697133</v>
      </c>
    </row>
    <row r="138" customFormat="false" ht="15" hidden="false" customHeight="false" outlineLevel="0" collapsed="false">
      <c r="A138" s="36" t="n">
        <f aca="false">Scenarios!A138</f>
        <v>49857</v>
      </c>
      <c r="B138" s="21" t="n">
        <f aca="false">Scenarios!B138</f>
        <v>9.83333333333333</v>
      </c>
      <c r="C138" s="44" t="n">
        <f aca="false">INDEX(Assumptions!$E$22:$E$32,MATCH(YEAR($A138),Assumptions!$A$22:$A$32,0))</f>
        <v>1.28943035557089</v>
      </c>
      <c r="D138" s="34" t="n">
        <f aca="false">Assumptions!$B$5+(INDEX(Assumptions!$B$22:$B$32,MATCH(YEAR($A138),Assumptions!$A$22:$A$32,0))*$C138-Assumptions!$B$5)*MIN(1,$B138/Assumptions!$B$11)</f>
        <v>64.4715177785447</v>
      </c>
      <c r="E138" s="34" t="n">
        <f aca="false">Assumptions!$B$5+(INDEX(Assumptions!$C$22:$C$32,MATCH(YEAR($A138),Assumptions!$A$22:$A$32,0))*$C138-Assumptions!$B$5)*MIN(1,$B138/Assumptions!$B$11)</f>
        <v>101.864998090101</v>
      </c>
      <c r="F138" s="34" t="n">
        <f aca="false">Assumptions!$B$5+(INDEX(Assumptions!$D$22:$D$32,MATCH(YEAR($A138),Assumptions!$A$22:$A$32,0))*$C138-Assumptions!$B$5)*MIN(1,$B138/Assumptions!$B$11)</f>
        <v>144.41619982394</v>
      </c>
      <c r="G138" s="34" t="n">
        <f aca="false">(Scenarios!$B$7-Scenarios!$B$8)*(1+Assumptions!$B$10)^$B138</f>
        <v>55.3879449076754</v>
      </c>
      <c r="H138" s="34" t="n">
        <f aca="false">D138*100/(Assumptions!$B$7*Assumptions!$B$6)</f>
        <v>30.2622685936984</v>
      </c>
      <c r="I138" s="34" t="n">
        <f aca="false">E138*100/(Assumptions!$B$7*Assumptions!$B$6)</f>
        <v>47.8143843780434</v>
      </c>
      <c r="J138" s="34" t="n">
        <f aca="false">F138*100/(Assumptions!$B$7*Assumptions!$B$6)</f>
        <v>67.7874816498843</v>
      </c>
      <c r="K138" s="34" t="n">
        <f aca="false">(Scenarios!$B$5+Scenarios!C$12*($A138&gt;=Assumptions!$B$14))*(1+Scenarios!C$13)^MAX(0,YEAR($A138)-Assumptions!$B$18+(MONTH($A138)&gt;=4))</f>
        <v>52.95</v>
      </c>
      <c r="L138" s="34" t="n">
        <f aca="false">(Scenarios!$B$5+Scenarios!D$12*($A138&gt;=Assumptions!$B$14))*(1+Scenarios!D$13)^MAX(0,YEAR($A138)-Assumptions!$B$18+(MONTH($A138)&gt;=4))</f>
        <v>74.543552738408</v>
      </c>
      <c r="M138" s="34" t="n">
        <f aca="false">(Scenarios!$B$5+Scenarios!E$12*($A138&gt;=Assumptions!$B$14))*(1+Scenarios!E$13)^MAX(0,YEAR($A138)-Assumptions!$B$18+(MONTH($A138)&gt;=4))</f>
        <v>74.543552738408</v>
      </c>
      <c r="N138" s="34" t="n">
        <f aca="false">$G138+H138</f>
        <v>85.6502135013737</v>
      </c>
      <c r="O138" s="34" t="n">
        <f aca="false">$G138+I138</f>
        <v>103.202329285719</v>
      </c>
      <c r="P138" s="34" t="n">
        <f aca="false">$G138+J138</f>
        <v>123.17542655756</v>
      </c>
    </row>
    <row r="139" customFormat="false" ht="15" hidden="false" customHeight="false" outlineLevel="0" collapsed="false">
      <c r="A139" s="36" t="n">
        <f aca="false">Scenarios!A139</f>
        <v>49888</v>
      </c>
      <c r="B139" s="21" t="n">
        <f aca="false">Scenarios!B139</f>
        <v>9.91666666666667</v>
      </c>
      <c r="C139" s="44" t="n">
        <f aca="false">INDEX(Assumptions!$E$22:$E$32,MATCH(YEAR($A139),Assumptions!$A$22:$A$32,0))</f>
        <v>1.28943035557089</v>
      </c>
      <c r="D139" s="34" t="n">
        <f aca="false">Assumptions!$B$5+(INDEX(Assumptions!$B$22:$B$32,MATCH(YEAR($A139),Assumptions!$A$22:$A$32,0))*$C139-Assumptions!$B$5)*MIN(1,$B139/Assumptions!$B$11)</f>
        <v>64.4715177785447</v>
      </c>
      <c r="E139" s="34" t="n">
        <f aca="false">Assumptions!$B$5+(INDEX(Assumptions!$C$22:$C$32,MATCH(YEAR($A139),Assumptions!$A$22:$A$32,0))*$C139-Assumptions!$B$5)*MIN(1,$B139/Assumptions!$B$11)</f>
        <v>101.864998090101</v>
      </c>
      <c r="F139" s="34" t="n">
        <f aca="false">Assumptions!$B$5+(INDEX(Assumptions!$D$22:$D$32,MATCH(YEAR($A139),Assumptions!$A$22:$A$32,0))*$C139-Assumptions!$B$5)*MIN(1,$B139/Assumptions!$B$11)</f>
        <v>144.41619982394</v>
      </c>
      <c r="G139" s="34" t="n">
        <f aca="false">(Scenarios!$B$7-Scenarios!$B$8)*(1+Assumptions!$B$10)^$B139</f>
        <v>55.4794226018366</v>
      </c>
      <c r="H139" s="34" t="n">
        <f aca="false">D139*100/(Assumptions!$B$7*Assumptions!$B$6)</f>
        <v>30.2622685936984</v>
      </c>
      <c r="I139" s="34" t="n">
        <f aca="false">E139*100/(Assumptions!$B$7*Assumptions!$B$6)</f>
        <v>47.8143843780434</v>
      </c>
      <c r="J139" s="34" t="n">
        <f aca="false">F139*100/(Assumptions!$B$7*Assumptions!$B$6)</f>
        <v>67.7874816498843</v>
      </c>
      <c r="K139" s="34" t="n">
        <f aca="false">(Scenarios!$B$5+Scenarios!C$12*($A139&gt;=Assumptions!$B$14))*(1+Scenarios!C$13)^MAX(0,YEAR($A139)-Assumptions!$B$18+(MONTH($A139)&gt;=4))</f>
        <v>52.95</v>
      </c>
      <c r="L139" s="34" t="n">
        <f aca="false">(Scenarios!$B$5+Scenarios!D$12*($A139&gt;=Assumptions!$B$14))*(1+Scenarios!D$13)^MAX(0,YEAR($A139)-Assumptions!$B$18+(MONTH($A139)&gt;=4))</f>
        <v>74.543552738408</v>
      </c>
      <c r="M139" s="34" t="n">
        <f aca="false">(Scenarios!$B$5+Scenarios!E$12*($A139&gt;=Assumptions!$B$14))*(1+Scenarios!E$13)^MAX(0,YEAR($A139)-Assumptions!$B$18+(MONTH($A139)&gt;=4))</f>
        <v>74.543552738408</v>
      </c>
      <c r="N139" s="34" t="n">
        <f aca="false">$G139+H139</f>
        <v>85.741691195535</v>
      </c>
      <c r="O139" s="34" t="n">
        <f aca="false">$G139+I139</f>
        <v>103.29380697988</v>
      </c>
      <c r="P139" s="34" t="n">
        <f aca="false">$G139+J139</f>
        <v>123.266904251721</v>
      </c>
    </row>
    <row r="140" customFormat="false" ht="15" hidden="false" customHeight="false" outlineLevel="0" collapsed="false">
      <c r="A140" s="36" t="n">
        <f aca="false">Scenarios!A140</f>
        <v>49919</v>
      </c>
      <c r="B140" s="21" t="n">
        <f aca="false">Scenarios!B140</f>
        <v>10</v>
      </c>
      <c r="C140" s="44" t="n">
        <f aca="false">INDEX(Assumptions!$E$22:$E$32,MATCH(YEAR($A140),Assumptions!$A$22:$A$32,0))</f>
        <v>1.28943035557089</v>
      </c>
      <c r="D140" s="34" t="n">
        <f aca="false">Assumptions!$B$5+(INDEX(Assumptions!$B$22:$B$32,MATCH(YEAR($A140),Assumptions!$A$22:$A$32,0))*$C140-Assumptions!$B$5)*MIN(1,$B140/Assumptions!$B$11)</f>
        <v>64.4715177785447</v>
      </c>
      <c r="E140" s="34" t="n">
        <f aca="false">Assumptions!$B$5+(INDEX(Assumptions!$C$22:$C$32,MATCH(YEAR($A140),Assumptions!$A$22:$A$32,0))*$C140-Assumptions!$B$5)*MIN(1,$B140/Assumptions!$B$11)</f>
        <v>101.864998090101</v>
      </c>
      <c r="F140" s="34" t="n">
        <f aca="false">Assumptions!$B$5+(INDEX(Assumptions!$D$22:$D$32,MATCH(YEAR($A140),Assumptions!$A$22:$A$32,0))*$C140-Assumptions!$B$5)*MIN(1,$B140/Assumptions!$B$11)</f>
        <v>144.41619982394</v>
      </c>
      <c r="G140" s="34" t="n">
        <f aca="false">(Scenarios!$B$7-Scenarios!$B$8)*(1+Assumptions!$B$10)^$B140</f>
        <v>55.5710513788472</v>
      </c>
      <c r="H140" s="34" t="n">
        <f aca="false">D140*100/(Assumptions!$B$7*Assumptions!$B$6)</f>
        <v>30.2622685936984</v>
      </c>
      <c r="I140" s="34" t="n">
        <f aca="false">E140*100/(Assumptions!$B$7*Assumptions!$B$6)</f>
        <v>47.8143843780434</v>
      </c>
      <c r="J140" s="34" t="n">
        <f aca="false">F140*100/(Assumptions!$B$7*Assumptions!$B$6)</f>
        <v>67.7874816498843</v>
      </c>
      <c r="K140" s="34" t="n">
        <f aca="false">(Scenarios!$B$5+Scenarios!C$12*($A140&gt;=Assumptions!$B$14))*(1+Scenarios!C$13)^MAX(0,YEAR($A140)-Assumptions!$B$18+(MONTH($A140)&gt;=4))</f>
        <v>52.95</v>
      </c>
      <c r="L140" s="34" t="n">
        <f aca="false">(Scenarios!$B$5+Scenarios!D$12*($A140&gt;=Assumptions!$B$14))*(1+Scenarios!D$13)^MAX(0,YEAR($A140)-Assumptions!$B$18+(MONTH($A140)&gt;=4))</f>
        <v>74.543552738408</v>
      </c>
      <c r="M140" s="34" t="n">
        <f aca="false">(Scenarios!$B$5+Scenarios!E$12*($A140&gt;=Assumptions!$B$14))*(1+Scenarios!E$13)^MAX(0,YEAR($A140)-Assumptions!$B$18+(MONTH($A140)&gt;=4))</f>
        <v>74.543552738408</v>
      </c>
      <c r="N140" s="34" t="n">
        <f aca="false">$G140+H140</f>
        <v>85.8333199725455</v>
      </c>
      <c r="O140" s="34" t="n">
        <f aca="false">$G140+I140</f>
        <v>103.385435756891</v>
      </c>
      <c r="P140" s="34" t="n">
        <f aca="false">$G140+J140</f>
        <v>123.358533028732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83" colorId="64" zoomScale="100" zoomScaleNormal="100" zoomScalePageLayoutView="100" workbookViewId="0">
      <selection pane="topLeft" activeCell="M90" activeCellId="0" sqref="M90"/>
    </sheetView>
  </sheetViews>
  <sheetFormatPr defaultColWidth="8.66796875" defaultRowHeight="15" zeroHeight="false" outlineLevelRow="0" outlineLevelCol="0"/>
  <sheetData>
    <row r="1" customFormat="false" ht="18" hidden="false" customHeight="true" outlineLevel="0" collapsed="false">
      <c r="A1" s="24"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2026-10-06T11:19:12Z</dcterms:created>
  <dc:creator>Abdul</dc:creator>
  <dc:description/>
  <dc:language>en-US</dc:language>
  <cp:lastModifiedBy/>
  <dcterms:modified xsi:type="dcterms:W3CDTF">2026-10-07T10:28:18Z</dcterms:modified>
  <cp:revision>4</cp:revision>
  <dc:subject/>
  <dc:title>UK Fuel Price Outlook 2026 to 2036</dc:title>
</cp:coreProperties>
</file>

<file path=docProps/custom.xml><?xml version="1.0" encoding="utf-8"?>
<Properties xmlns="http://schemas.openxmlformats.org/officeDocument/2006/custom-properties" xmlns:vt="http://schemas.openxmlformats.org/officeDocument/2006/docPropsVTypes"/>
</file>